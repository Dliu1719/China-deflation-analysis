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/Py_Projects/Slides/"/>
    </mc:Choice>
  </mc:AlternateContent>
  <xr:revisionPtr revIDLastSave="0" documentId="13_ncr:1_{5D2F05DC-95DA-AB44-B7D3-6245735E6DF5}" xr6:coauthVersionLast="47" xr6:coauthVersionMax="47" xr10:uidLastSave="{00000000-0000-0000-0000-000000000000}"/>
  <bookViews>
    <workbookView xWindow="0" yWindow="760" windowWidth="30240" windowHeight="17580" activeTab="1" xr2:uid="{BCF232E7-C846-4542-8B5C-99BC2FDC76B7}"/>
  </bookViews>
  <sheets>
    <sheet name="Sheet2" sheetId="1" r:id="rId1"/>
    <sheet name="Sheet3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1" i="2"/>
  <c r="I113" i="1"/>
  <c r="G113" i="1"/>
  <c r="E113" i="1"/>
  <c r="I112" i="1"/>
  <c r="G112" i="1"/>
  <c r="E112" i="1"/>
  <c r="I111" i="1"/>
  <c r="G111" i="1"/>
  <c r="E111" i="1"/>
  <c r="I110" i="1"/>
  <c r="G110" i="1"/>
  <c r="E110" i="1"/>
  <c r="I109" i="1"/>
  <c r="G109" i="1"/>
  <c r="E109" i="1"/>
  <c r="I108" i="1"/>
  <c r="G108" i="1"/>
  <c r="E108" i="1"/>
  <c r="I107" i="1"/>
  <c r="G107" i="1"/>
  <c r="E107" i="1"/>
  <c r="I106" i="1"/>
  <c r="G106" i="1"/>
  <c r="E106" i="1"/>
  <c r="I105" i="1"/>
  <c r="G105" i="1"/>
  <c r="E105" i="1"/>
  <c r="I104" i="1"/>
  <c r="G104" i="1"/>
  <c r="E104" i="1"/>
  <c r="I103" i="1"/>
  <c r="G103" i="1"/>
  <c r="E103" i="1"/>
  <c r="I102" i="1"/>
  <c r="G102" i="1"/>
  <c r="E102" i="1"/>
  <c r="I101" i="1"/>
  <c r="G101" i="1"/>
  <c r="E101" i="1"/>
  <c r="I100" i="1"/>
  <c r="G100" i="1"/>
  <c r="E100" i="1"/>
  <c r="I99" i="1"/>
  <c r="G99" i="1"/>
  <c r="E99" i="1"/>
  <c r="I98" i="1"/>
  <c r="G98" i="1"/>
  <c r="E98" i="1"/>
  <c r="I97" i="1"/>
  <c r="G97" i="1"/>
  <c r="E97" i="1"/>
  <c r="I96" i="1"/>
  <c r="G96" i="1"/>
  <c r="E96" i="1"/>
  <c r="I95" i="1"/>
  <c r="G95" i="1"/>
  <c r="E95" i="1"/>
  <c r="I94" i="1"/>
  <c r="G94" i="1"/>
  <c r="E94" i="1"/>
  <c r="I93" i="1"/>
  <c r="G93" i="1"/>
  <c r="E93" i="1"/>
  <c r="I92" i="1"/>
  <c r="G92" i="1"/>
  <c r="E92" i="1"/>
  <c r="I91" i="1"/>
  <c r="G91" i="1"/>
  <c r="E91" i="1"/>
  <c r="I90" i="1"/>
  <c r="G90" i="1"/>
  <c r="E90" i="1"/>
  <c r="I89" i="1"/>
  <c r="G89" i="1"/>
  <c r="E89" i="1"/>
  <c r="I88" i="1"/>
  <c r="G88" i="1"/>
  <c r="E88" i="1"/>
  <c r="I87" i="1"/>
  <c r="G87" i="1"/>
  <c r="E87" i="1"/>
  <c r="I86" i="1"/>
  <c r="G86" i="1"/>
  <c r="E86" i="1"/>
  <c r="I85" i="1"/>
  <c r="G85" i="1"/>
  <c r="E85" i="1"/>
  <c r="I84" i="1"/>
  <c r="G84" i="1"/>
  <c r="E84" i="1"/>
  <c r="I83" i="1"/>
  <c r="G83" i="1"/>
  <c r="E83" i="1"/>
  <c r="I82" i="1"/>
  <c r="G82" i="1"/>
  <c r="E82" i="1"/>
  <c r="I81" i="1"/>
  <c r="G81" i="1"/>
  <c r="E81" i="1"/>
  <c r="I80" i="1"/>
  <c r="G80" i="1"/>
  <c r="E80" i="1"/>
  <c r="I79" i="1"/>
  <c r="G79" i="1"/>
  <c r="E79" i="1"/>
  <c r="I78" i="1"/>
  <c r="G78" i="1"/>
  <c r="E78" i="1"/>
  <c r="I77" i="1"/>
  <c r="G77" i="1"/>
  <c r="E77" i="1"/>
  <c r="I76" i="1"/>
  <c r="G76" i="1"/>
  <c r="E76" i="1"/>
  <c r="I75" i="1"/>
  <c r="G75" i="1"/>
  <c r="E75" i="1"/>
  <c r="I74" i="1"/>
  <c r="G74" i="1"/>
  <c r="E74" i="1"/>
  <c r="I73" i="1"/>
  <c r="G73" i="1"/>
  <c r="E73" i="1"/>
  <c r="I72" i="1"/>
  <c r="G72" i="1"/>
  <c r="E72" i="1"/>
  <c r="I71" i="1"/>
  <c r="G71" i="1"/>
  <c r="E71" i="1"/>
  <c r="I70" i="1"/>
  <c r="G70" i="1"/>
  <c r="E70" i="1"/>
  <c r="I69" i="1"/>
  <c r="G69" i="1"/>
  <c r="E69" i="1"/>
  <c r="I68" i="1"/>
  <c r="G68" i="1"/>
  <c r="E68" i="1"/>
  <c r="I67" i="1"/>
  <c r="G67" i="1"/>
  <c r="E67" i="1"/>
  <c r="I66" i="1"/>
  <c r="G66" i="1"/>
  <c r="E66" i="1"/>
  <c r="I65" i="1"/>
  <c r="G65" i="1"/>
  <c r="E65" i="1"/>
  <c r="I64" i="1"/>
  <c r="G64" i="1"/>
  <c r="E64" i="1"/>
  <c r="I63" i="1"/>
  <c r="G63" i="1"/>
  <c r="E63" i="1"/>
  <c r="I62" i="1"/>
  <c r="G62" i="1"/>
  <c r="E62" i="1"/>
  <c r="I61" i="1"/>
  <c r="G61" i="1"/>
  <c r="E61" i="1"/>
  <c r="I60" i="1"/>
  <c r="G60" i="1"/>
  <c r="E60" i="1"/>
  <c r="I59" i="1"/>
  <c r="G59" i="1"/>
  <c r="E59" i="1"/>
  <c r="I58" i="1"/>
  <c r="G58" i="1"/>
  <c r="E58" i="1"/>
  <c r="I57" i="1"/>
  <c r="G57" i="1"/>
  <c r="E57" i="1"/>
  <c r="I56" i="1"/>
  <c r="G56" i="1"/>
  <c r="E56" i="1"/>
  <c r="I55" i="1"/>
  <c r="G55" i="1"/>
  <c r="E55" i="1"/>
  <c r="I54" i="1"/>
  <c r="G54" i="1"/>
  <c r="E54" i="1"/>
  <c r="I53" i="1"/>
  <c r="G53" i="1"/>
  <c r="E53" i="1"/>
  <c r="I52" i="1"/>
  <c r="G52" i="1"/>
  <c r="E52" i="1"/>
  <c r="I51" i="1"/>
  <c r="G51" i="1"/>
  <c r="E51" i="1"/>
  <c r="I50" i="1"/>
  <c r="G50" i="1"/>
  <c r="E50" i="1"/>
  <c r="I49" i="1"/>
  <c r="G49" i="1"/>
  <c r="E49" i="1"/>
  <c r="I48" i="1"/>
  <c r="G48" i="1"/>
  <c r="E48" i="1"/>
  <c r="I47" i="1"/>
  <c r="G47" i="1"/>
  <c r="E47" i="1"/>
  <c r="I46" i="1"/>
  <c r="G46" i="1"/>
  <c r="E46" i="1"/>
  <c r="I45" i="1"/>
  <c r="G45" i="1"/>
  <c r="E45" i="1"/>
  <c r="I44" i="1"/>
  <c r="G44" i="1"/>
  <c r="E44" i="1"/>
  <c r="I43" i="1"/>
  <c r="G43" i="1"/>
  <c r="E43" i="1"/>
  <c r="I42" i="1"/>
  <c r="G42" i="1"/>
  <c r="E42" i="1"/>
  <c r="I41" i="1"/>
  <c r="G41" i="1"/>
  <c r="E41" i="1"/>
  <c r="I40" i="1"/>
  <c r="G40" i="1"/>
  <c r="E40" i="1"/>
  <c r="I39" i="1"/>
  <c r="G39" i="1"/>
  <c r="E39" i="1"/>
  <c r="I38" i="1"/>
  <c r="G38" i="1"/>
  <c r="E38" i="1"/>
  <c r="I37" i="1"/>
  <c r="G37" i="1"/>
  <c r="E37" i="1"/>
  <c r="I36" i="1"/>
  <c r="G36" i="1"/>
  <c r="E36" i="1"/>
  <c r="I35" i="1"/>
  <c r="G35" i="1"/>
  <c r="E35" i="1"/>
  <c r="I34" i="1"/>
  <c r="G34" i="1"/>
  <c r="E34" i="1"/>
  <c r="I33" i="1"/>
  <c r="G33" i="1"/>
  <c r="E33" i="1"/>
  <c r="I32" i="1"/>
  <c r="G32" i="1"/>
  <c r="E32" i="1"/>
  <c r="I31" i="1"/>
  <c r="G31" i="1"/>
  <c r="E31" i="1"/>
  <c r="I30" i="1"/>
  <c r="G30" i="1"/>
  <c r="E30" i="1"/>
  <c r="I29" i="1"/>
  <c r="G29" i="1"/>
  <c r="E29" i="1"/>
  <c r="I28" i="1"/>
  <c r="G28" i="1"/>
  <c r="E28" i="1"/>
  <c r="I27" i="1"/>
  <c r="G27" i="1"/>
  <c r="E27" i="1"/>
  <c r="I26" i="1"/>
  <c r="G26" i="1"/>
  <c r="E26" i="1"/>
  <c r="I25" i="1"/>
  <c r="G25" i="1"/>
  <c r="E25" i="1"/>
  <c r="I24" i="1"/>
  <c r="G24" i="1"/>
  <c r="E24" i="1"/>
  <c r="I23" i="1"/>
  <c r="G23" i="1"/>
  <c r="E23" i="1"/>
  <c r="I22" i="1"/>
  <c r="G22" i="1"/>
  <c r="E22" i="1"/>
  <c r="I21" i="1"/>
  <c r="G21" i="1"/>
  <c r="E21" i="1"/>
  <c r="I20" i="1"/>
  <c r="G20" i="1"/>
  <c r="E20" i="1"/>
  <c r="I19" i="1"/>
  <c r="G19" i="1"/>
  <c r="E19" i="1"/>
  <c r="I18" i="1"/>
  <c r="G18" i="1"/>
  <c r="E18" i="1"/>
  <c r="I17" i="1"/>
  <c r="G17" i="1"/>
  <c r="E17" i="1"/>
  <c r="I16" i="1"/>
  <c r="G16" i="1"/>
  <c r="E16" i="1"/>
  <c r="I15" i="1"/>
  <c r="G15" i="1"/>
  <c r="E15" i="1"/>
  <c r="I14" i="1"/>
  <c r="G14" i="1"/>
  <c r="E14" i="1"/>
  <c r="I13" i="1"/>
  <c r="G13" i="1"/>
  <c r="E13" i="1"/>
  <c r="I12" i="1"/>
  <c r="G12" i="1"/>
  <c r="E12" i="1"/>
  <c r="I11" i="1"/>
  <c r="G11" i="1"/>
  <c r="E11" i="1"/>
  <c r="I10" i="1"/>
  <c r="G10" i="1"/>
  <c r="E10" i="1"/>
  <c r="I9" i="1"/>
  <c r="G9" i="1"/>
  <c r="E9" i="1"/>
  <c r="I8" i="1"/>
  <c r="G8" i="1"/>
  <c r="E8" i="1"/>
  <c r="I7" i="1"/>
  <c r="G7" i="1"/>
  <c r="E7" i="1"/>
  <c r="I6" i="1"/>
  <c r="G6" i="1"/>
  <c r="E6" i="1"/>
  <c r="I5" i="1"/>
  <c r="G5" i="1"/>
  <c r="E5" i="1"/>
  <c r="I4" i="1"/>
  <c r="G4" i="1"/>
  <c r="E4" i="1"/>
  <c r="I3" i="1"/>
  <c r="G3" i="1"/>
  <c r="E3" i="1"/>
  <c r="I2" i="1"/>
  <c r="G2" i="1"/>
  <c r="E2" i="1"/>
</calcChain>
</file>

<file path=xl/sharedStrings.xml><?xml version="1.0" encoding="utf-8"?>
<sst xmlns="http://schemas.openxmlformats.org/spreadsheetml/2006/main" count="11" uniqueCount="11">
  <si>
    <t>Date</t>
  </si>
  <si>
    <t>M2 YoY Growth Rate</t>
  </si>
  <si>
    <t>M2 MoM Growth Rate</t>
  </si>
  <si>
    <t>China Money Supply M2 (100 million CNY)</t>
  </si>
  <si>
    <t>China Money Supply M2 (Trillion CNY)</t>
  </si>
  <si>
    <t>居民消费价格指数(上年同月=100)</t>
  </si>
  <si>
    <t>CPI YoY</t>
  </si>
  <si>
    <t>工业生产者出厂价格指数(上年同月=100)</t>
  </si>
  <si>
    <t>PPI YoY</t>
  </si>
  <si>
    <t xml:space="preserve">average CPI growth pre-pandemic </t>
  </si>
  <si>
    <t xml:space="preserve">average CPI growth post-pandemic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</si>
</sst>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name val="Aptos Display"/>
      <scheme val="major"/>
    </font>
    <font>
      <sz val="10"/>
      <name val="Arial"/>
      <family val="2"/>
    </font>
    <font>
      <sz val="1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22" fontId="2" fillId="0" borderId="0"/>
    <xf numFmtId="0" fontId="2" fillId="0" borderId="0"/>
  </cellStyleXfs>
  <cellXfs count="10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22" fontId="2" fillId="0" borderId="0" xfId="1"/>
    <xf numFmtId="0" fontId="3" fillId="0" borderId="0" xfId="0" applyFont="1" applyAlignment="1">
      <alignment horizontal="right" vertical="center"/>
    </xf>
    <xf numFmtId="10" fontId="0" fillId="0" borderId="0" xfId="0" applyNumberFormat="1"/>
    <xf numFmtId="0" fontId="3" fillId="0" borderId="0" xfId="2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3">
    <cellStyle name="blp_datetime" xfId="1" xr:uid="{A3A11FDF-1DC6-0446-A1A4-2A3E2B5C0805}"/>
    <cellStyle name="Normal" xfId="0" builtinId="0"/>
    <cellStyle name="Normal 2" xfId="2" xr:uid="{1B553CBC-36FC-D746-8234-DDB853E19C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4762-92DE-7F4C-9CBC-3F64061D5603}">
  <dimension ref="A1:I187"/>
  <sheetViews>
    <sheetView topLeftCell="A27" workbookViewId="0">
      <selection activeCell="A54" sqref="A54"/>
    </sheetView>
  </sheetViews>
  <sheetFormatPr baseColWidth="10" defaultRowHeight="16"/>
  <cols>
    <col min="1" max="1" width="16" bestFit="1" customWidth="1"/>
    <col min="2" max="2" width="33" customWidth="1"/>
    <col min="3" max="3" width="27.5" customWidth="1"/>
    <col min="4" max="4" width="36.6640625" customWidth="1"/>
    <col min="5" max="5" width="46" customWidth="1"/>
    <col min="6" max="6" width="39.6640625" customWidth="1"/>
    <col min="7" max="7" width="25.5" customWidth="1"/>
    <col min="8" max="8" width="40.33203125" customWidth="1"/>
  </cols>
  <sheetData>
    <row r="1" spans="1:9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2" t="s">
        <v>5</v>
      </c>
      <c r="G1" t="s">
        <v>6</v>
      </c>
      <c r="H1" s="3" t="s">
        <v>7</v>
      </c>
      <c r="I1" s="3" t="s">
        <v>8</v>
      </c>
    </row>
    <row r="2" spans="1:9">
      <c r="A2" s="4">
        <v>45777</v>
      </c>
      <c r="B2">
        <v>7.961552433357294E-2</v>
      </c>
      <c r="C2">
        <v>-2.7036044975625112E-3</v>
      </c>
      <c r="D2" s="5">
        <v>3251739.32</v>
      </c>
      <c r="E2">
        <f>D2/10000</f>
        <v>325.17393199999998</v>
      </c>
      <c r="F2" s="5">
        <v>99.9</v>
      </c>
      <c r="G2" s="6">
        <f>(F2-100)/100</f>
        <v>-9.9999999999994321E-4</v>
      </c>
      <c r="H2" s="5">
        <v>97.3</v>
      </c>
      <c r="I2">
        <f>(H2-100)/100</f>
        <v>-2.7000000000000027E-2</v>
      </c>
    </row>
    <row r="3" spans="1:9">
      <c r="A3" s="4">
        <v>45747</v>
      </c>
      <c r="B3">
        <v>6.9752541654065747E-2</v>
      </c>
      <c r="C3">
        <v>1.7278732178607484E-2</v>
      </c>
      <c r="D3" s="5">
        <v>3260554.57</v>
      </c>
      <c r="E3">
        <f t="shared" ref="E3:E66" si="0">D3/10000</f>
        <v>326.05545699999999</v>
      </c>
      <c r="F3" s="5">
        <v>99.9</v>
      </c>
      <c r="G3" s="6">
        <f t="shared" ref="G3:G66" si="1">(F3-100)/100</f>
        <v>-9.9999999999994321E-4</v>
      </c>
      <c r="H3" s="5">
        <v>97.5</v>
      </c>
      <c r="I3">
        <f t="shared" ref="I3:I66" si="2">(H3-100)/100</f>
        <v>-2.5000000000000001E-2</v>
      </c>
    </row>
    <row r="4" spans="1:9">
      <c r="A4" s="4">
        <v>45716</v>
      </c>
      <c r="B4">
        <v>6.9970009777461706E-2</v>
      </c>
      <c r="C4">
        <v>6.2557342881000696E-3</v>
      </c>
      <c r="D4" s="5">
        <v>3205173.24</v>
      </c>
      <c r="E4">
        <f t="shared" si="0"/>
        <v>320.51732400000003</v>
      </c>
      <c r="F4" s="5">
        <v>99.9</v>
      </c>
      <c r="G4" s="6">
        <f t="shared" si="1"/>
        <v>-9.9999999999994321E-4</v>
      </c>
      <c r="H4" s="5">
        <v>97.8</v>
      </c>
      <c r="I4">
        <f t="shared" si="2"/>
        <v>-2.200000000000003E-2</v>
      </c>
    </row>
    <row r="5" spans="1:9">
      <c r="A5" s="4">
        <v>45688</v>
      </c>
      <c r="B5">
        <v>7.0221576129587487E-2</v>
      </c>
      <c r="C5">
        <v>1.5923364561276639E-2</v>
      </c>
      <c r="D5" s="5">
        <v>3185247.18</v>
      </c>
      <c r="E5">
        <f t="shared" si="0"/>
        <v>318.52471800000001</v>
      </c>
      <c r="F5" s="5">
        <v>99.3</v>
      </c>
      <c r="G5" s="6">
        <f t="shared" si="1"/>
        <v>-7.0000000000000288E-3</v>
      </c>
      <c r="H5" s="5">
        <v>97.7</v>
      </c>
      <c r="I5">
        <f t="shared" si="2"/>
        <v>-2.2999999999999972E-2</v>
      </c>
    </row>
    <row r="6" spans="1:9">
      <c r="A6" s="4">
        <v>45657</v>
      </c>
      <c r="B6">
        <v>7.2743696009351599E-2</v>
      </c>
      <c r="C6">
        <v>5.0439460858550675E-3</v>
      </c>
      <c r="D6" s="5">
        <v>3135322.3</v>
      </c>
      <c r="E6">
        <f t="shared" si="0"/>
        <v>313.53222999999997</v>
      </c>
      <c r="F6" s="5">
        <v>100.5</v>
      </c>
      <c r="G6" s="6">
        <f t="shared" si="1"/>
        <v>5.0000000000000001E-3</v>
      </c>
      <c r="H6" s="5">
        <v>97.7</v>
      </c>
      <c r="I6">
        <f t="shared" si="2"/>
        <v>-2.2999999999999972E-2</v>
      </c>
    </row>
    <row r="7" spans="1:9">
      <c r="A7" s="4">
        <v>45626</v>
      </c>
      <c r="B7">
        <v>7.12816058982019E-2</v>
      </c>
      <c r="C7">
        <v>7.263348950359484E-3</v>
      </c>
      <c r="D7" s="5">
        <v>3119587.27</v>
      </c>
      <c r="E7">
        <f t="shared" si="0"/>
        <v>311.95872700000001</v>
      </c>
      <c r="F7" s="5">
        <v>100.1</v>
      </c>
      <c r="G7" s="6">
        <f t="shared" si="1"/>
        <v>9.9999999999994321E-4</v>
      </c>
      <c r="H7" s="5">
        <v>97.5</v>
      </c>
      <c r="I7">
        <f t="shared" si="2"/>
        <v>-2.5000000000000001E-2</v>
      </c>
    </row>
    <row r="8" spans="1:9">
      <c r="A8" s="4">
        <v>45596</v>
      </c>
      <c r="B8">
        <v>7.4529966867469419E-2</v>
      </c>
      <c r="C8">
        <v>7.411694792742136E-4</v>
      </c>
      <c r="D8" s="5">
        <v>3097092.01</v>
      </c>
      <c r="E8">
        <f t="shared" si="0"/>
        <v>309.70920099999995</v>
      </c>
      <c r="F8" s="5">
        <v>100.2</v>
      </c>
      <c r="G8" s="6">
        <f t="shared" si="1"/>
        <v>2.0000000000000282E-3</v>
      </c>
      <c r="H8" s="5">
        <v>97.1</v>
      </c>
      <c r="I8">
        <f t="shared" si="2"/>
        <v>-2.9000000000000057E-2</v>
      </c>
    </row>
    <row r="9" spans="1:9">
      <c r="A9" s="4">
        <v>45565</v>
      </c>
      <c r="B9">
        <v>6.8402639895034242E-2</v>
      </c>
      <c r="C9">
        <v>1.4534513332798421E-2</v>
      </c>
      <c r="D9" s="5">
        <v>3094798.24</v>
      </c>
      <c r="E9">
        <f t="shared" si="0"/>
        <v>309.47982400000001</v>
      </c>
      <c r="F9" s="5">
        <v>100.3</v>
      </c>
      <c r="G9" s="6">
        <f t="shared" si="1"/>
        <v>2.9999999999999714E-3</v>
      </c>
      <c r="H9" s="5">
        <v>97.2</v>
      </c>
      <c r="I9">
        <f t="shared" si="2"/>
        <v>-2.7999999999999973E-2</v>
      </c>
    </row>
    <row r="10" spans="1:9">
      <c r="A10" s="4">
        <v>45535</v>
      </c>
      <c r="B10">
        <v>6.3121768369817741E-2</v>
      </c>
      <c r="C10">
        <v>5.7369407546129774E-3</v>
      </c>
      <c r="D10" s="5">
        <v>3050461.27</v>
      </c>
      <c r="E10">
        <f t="shared" si="0"/>
        <v>305.04612700000001</v>
      </c>
      <c r="F10" s="5">
        <v>100.4</v>
      </c>
      <c r="G10" s="6">
        <f t="shared" si="1"/>
        <v>4.0000000000000565E-3</v>
      </c>
      <c r="H10" s="5">
        <v>98.2</v>
      </c>
      <c r="I10">
        <f t="shared" si="2"/>
        <v>-1.7999999999999971E-2</v>
      </c>
    </row>
    <row r="11" spans="1:9">
      <c r="A11" s="4">
        <v>45504</v>
      </c>
      <c r="B11">
        <v>6.2728535489635487E-2</v>
      </c>
      <c r="C11">
        <v>-5.6065096145695428E-3</v>
      </c>
      <c r="D11" s="5">
        <v>3033060.78</v>
      </c>
      <c r="E11">
        <f t="shared" si="0"/>
        <v>303.30607799999996</v>
      </c>
      <c r="F11" s="5">
        <v>100.6</v>
      </c>
      <c r="G11" s="6">
        <f t="shared" si="1"/>
        <v>5.9999999999999429E-3</v>
      </c>
      <c r="H11" s="5">
        <v>99.2</v>
      </c>
      <c r="I11">
        <f t="shared" si="2"/>
        <v>-7.9999999999999724E-3</v>
      </c>
    </row>
    <row r="12" spans="1:9">
      <c r="A12" s="4">
        <v>45473</v>
      </c>
      <c r="B12">
        <v>6.1655496258100982E-2</v>
      </c>
      <c r="C12">
        <v>1.0486910526119667E-2</v>
      </c>
      <c r="D12" s="5">
        <v>3050161.54</v>
      </c>
      <c r="E12">
        <f t="shared" si="0"/>
        <v>305.01615400000003</v>
      </c>
      <c r="F12" s="5">
        <v>100.5</v>
      </c>
      <c r="G12" s="6">
        <f t="shared" si="1"/>
        <v>5.0000000000000001E-3</v>
      </c>
      <c r="H12" s="5">
        <v>99.2</v>
      </c>
      <c r="I12">
        <f t="shared" si="2"/>
        <v>-7.9999999999999724E-3</v>
      </c>
    </row>
    <row r="13" spans="1:9">
      <c r="A13" s="4">
        <v>45443</v>
      </c>
      <c r="B13">
        <v>7.0200929430827896E-2</v>
      </c>
      <c r="C13">
        <v>2.1795738575282916E-3</v>
      </c>
      <c r="D13" s="5">
        <v>3018506.73</v>
      </c>
      <c r="E13">
        <f t="shared" si="0"/>
        <v>301.85067299999997</v>
      </c>
      <c r="F13" s="5">
        <v>100.2</v>
      </c>
      <c r="G13" s="6">
        <f t="shared" si="1"/>
        <v>2.0000000000000282E-3</v>
      </c>
      <c r="H13" s="5">
        <v>98.6</v>
      </c>
      <c r="I13">
        <f t="shared" si="2"/>
        <v>-1.4000000000000058E-2</v>
      </c>
    </row>
    <row r="14" spans="1:9">
      <c r="A14" s="4">
        <v>45412</v>
      </c>
      <c r="B14">
        <v>7.2449656865401335E-2</v>
      </c>
      <c r="C14">
        <v>-1.1814548952763146E-2</v>
      </c>
      <c r="D14" s="5">
        <v>3011941.98</v>
      </c>
      <c r="E14">
        <f t="shared" si="0"/>
        <v>301.19419799999997</v>
      </c>
      <c r="F14" s="5">
        <v>100.3</v>
      </c>
      <c r="G14" s="6">
        <f t="shared" si="1"/>
        <v>2.9999999999999714E-3</v>
      </c>
      <c r="H14" s="5">
        <v>97.5</v>
      </c>
      <c r="I14">
        <f t="shared" si="2"/>
        <v>-2.5000000000000001E-2</v>
      </c>
    </row>
    <row r="15" spans="1:9">
      <c r="A15" s="4">
        <v>45382</v>
      </c>
      <c r="B15">
        <v>8.2920714701512965E-2</v>
      </c>
      <c r="C15">
        <v>1.7485532993042043E-2</v>
      </c>
      <c r="D15" s="5">
        <v>3047952.16</v>
      </c>
      <c r="E15">
        <f t="shared" si="0"/>
        <v>304.79521600000004</v>
      </c>
      <c r="F15" s="5">
        <v>100.3</v>
      </c>
      <c r="G15" s="6">
        <f t="shared" si="1"/>
        <v>2.9999999999999714E-3</v>
      </c>
      <c r="H15" s="5">
        <v>97.2</v>
      </c>
      <c r="I15">
        <f t="shared" si="2"/>
        <v>-2.7999999999999973E-2</v>
      </c>
    </row>
    <row r="16" spans="1:9">
      <c r="A16" s="4">
        <v>45351</v>
      </c>
      <c r="B16">
        <v>8.7223956868685962E-2</v>
      </c>
      <c r="C16">
        <v>6.492320437307326E-3</v>
      </c>
      <c r="D16" s="5">
        <v>2995572.97</v>
      </c>
      <c r="E16">
        <f t="shared" si="0"/>
        <v>299.55729700000001</v>
      </c>
      <c r="F16" s="5">
        <v>100.1</v>
      </c>
      <c r="G16" s="6">
        <f t="shared" si="1"/>
        <v>9.9999999999994321E-4</v>
      </c>
      <c r="H16" s="5">
        <v>97.3</v>
      </c>
      <c r="I16">
        <f t="shared" si="2"/>
        <v>-2.7000000000000027E-2</v>
      </c>
    </row>
    <row r="17" spans="1:9">
      <c r="A17" s="4">
        <v>45322</v>
      </c>
      <c r="B17">
        <v>8.6987535309790254E-2</v>
      </c>
      <c r="C17">
        <v>1.831752346371928E-2</v>
      </c>
      <c r="D17" s="5">
        <v>2976250.2</v>
      </c>
      <c r="E17">
        <f t="shared" si="0"/>
        <v>297.62502000000001</v>
      </c>
      <c r="F17" s="5">
        <v>100.7</v>
      </c>
      <c r="G17" s="6">
        <f t="shared" si="1"/>
        <v>7.0000000000000288E-3</v>
      </c>
      <c r="H17" s="5">
        <v>97.5</v>
      </c>
      <c r="I17">
        <f t="shared" si="2"/>
        <v>-2.5000000000000001E-2</v>
      </c>
    </row>
    <row r="18" spans="1:9">
      <c r="A18" s="4">
        <v>45291</v>
      </c>
      <c r="B18">
        <v>9.6982497798576026E-2</v>
      </c>
      <c r="C18">
        <v>3.6741269759320988E-3</v>
      </c>
      <c r="D18" s="5">
        <v>2922713.33</v>
      </c>
      <c r="E18">
        <f t="shared" si="0"/>
        <v>292.27133300000003</v>
      </c>
      <c r="F18" s="5">
        <v>99.2</v>
      </c>
      <c r="G18" s="6">
        <f t="shared" si="1"/>
        <v>-7.9999999999999724E-3</v>
      </c>
      <c r="H18" s="5">
        <v>97.3</v>
      </c>
      <c r="I18">
        <f t="shared" si="2"/>
        <v>-2.7000000000000027E-2</v>
      </c>
    </row>
    <row r="19" spans="1:9">
      <c r="A19" s="4">
        <v>45260</v>
      </c>
      <c r="B19">
        <v>0.10011518361286105</v>
      </c>
      <c r="C19">
        <v>1.0317592512919962E-2</v>
      </c>
      <c r="D19" s="5">
        <v>2912014.22</v>
      </c>
      <c r="E19">
        <f t="shared" si="0"/>
        <v>291.20142200000004</v>
      </c>
      <c r="F19" s="5">
        <v>99.7</v>
      </c>
      <c r="G19" s="6">
        <f t="shared" si="1"/>
        <v>-2.9999999999999714E-3</v>
      </c>
      <c r="H19" s="5">
        <v>97</v>
      </c>
      <c r="I19">
        <f t="shared" si="2"/>
        <v>-0.03</v>
      </c>
    </row>
    <row r="20" spans="1:9">
      <c r="A20" s="4">
        <v>45230</v>
      </c>
      <c r="B20">
        <v>0.10308852156616817</v>
      </c>
      <c r="C20">
        <v>-4.9653892480292713E-3</v>
      </c>
      <c r="D20" s="5">
        <v>2882276.07</v>
      </c>
      <c r="E20">
        <f t="shared" si="0"/>
        <v>288.22760699999998</v>
      </c>
      <c r="F20" s="5">
        <v>99.5</v>
      </c>
      <c r="G20" s="6">
        <f t="shared" si="1"/>
        <v>-5.0000000000000001E-3</v>
      </c>
      <c r="H20" s="5">
        <v>97.4</v>
      </c>
      <c r="I20">
        <f t="shared" si="2"/>
        <v>-2.5999999999999943E-2</v>
      </c>
    </row>
    <row r="21" spans="1:9">
      <c r="A21" s="4">
        <v>45199</v>
      </c>
      <c r="B21">
        <v>0.10281660527249033</v>
      </c>
      <c r="C21">
        <v>9.5198997192127051E-3</v>
      </c>
      <c r="D21" s="5">
        <v>2896659.11</v>
      </c>
      <c r="E21">
        <f t="shared" si="0"/>
        <v>289.66591099999999</v>
      </c>
      <c r="F21" s="5">
        <v>99.8</v>
      </c>
      <c r="G21" s="6">
        <f t="shared" si="1"/>
        <v>-2.0000000000000282E-3</v>
      </c>
      <c r="H21" s="5">
        <v>97.5</v>
      </c>
      <c r="I21">
        <f t="shared" si="2"/>
        <v>-2.5000000000000001E-2</v>
      </c>
    </row>
    <row r="22" spans="1:9">
      <c r="A22" s="4">
        <v>45169</v>
      </c>
      <c r="B22">
        <v>0.10569085336625844</v>
      </c>
      <c r="C22">
        <v>5.3649336659752789E-3</v>
      </c>
      <c r="D22" s="5">
        <v>2869343.25</v>
      </c>
      <c r="E22">
        <f t="shared" si="0"/>
        <v>286.934325</v>
      </c>
      <c r="F22" s="5">
        <v>100</v>
      </c>
      <c r="G22" s="6">
        <f t="shared" si="1"/>
        <v>0</v>
      </c>
      <c r="H22" s="5">
        <v>97</v>
      </c>
      <c r="I22">
        <f t="shared" si="2"/>
        <v>-0.03</v>
      </c>
    </row>
    <row r="23" spans="1:9">
      <c r="A23" s="4">
        <v>45138</v>
      </c>
      <c r="B23">
        <v>0.10703823894707765</v>
      </c>
      <c r="C23">
        <v>-6.6105508077181586E-3</v>
      </c>
      <c r="D23" s="5">
        <v>2854031.56</v>
      </c>
      <c r="E23">
        <f t="shared" si="0"/>
        <v>285.40315600000002</v>
      </c>
      <c r="F23" s="5">
        <v>100.1</v>
      </c>
      <c r="G23" s="6">
        <f t="shared" si="1"/>
        <v>9.9999999999994321E-4</v>
      </c>
      <c r="H23" s="5">
        <v>95.6</v>
      </c>
      <c r="I23">
        <f t="shared" si="2"/>
        <v>-4.400000000000006E-2</v>
      </c>
    </row>
    <row r="24" spans="1:9">
      <c r="A24" s="4">
        <v>45107</v>
      </c>
      <c r="B24">
        <v>0.11294911559823399</v>
      </c>
      <c r="C24">
        <v>1.8620479651180692E-2</v>
      </c>
      <c r="D24" s="5">
        <v>2873023.83</v>
      </c>
      <c r="E24">
        <f t="shared" si="0"/>
        <v>287.30238300000002</v>
      </c>
      <c r="F24" s="5">
        <v>99.7</v>
      </c>
      <c r="G24" s="6">
        <f t="shared" si="1"/>
        <v>-2.9999999999999714E-3</v>
      </c>
      <c r="H24" s="5">
        <v>94.6</v>
      </c>
      <c r="I24">
        <f t="shared" si="2"/>
        <v>-5.4000000000000055E-2</v>
      </c>
    </row>
    <row r="25" spans="1:9">
      <c r="A25" s="4">
        <v>45077</v>
      </c>
      <c r="B25">
        <v>0.1161359291830044</v>
      </c>
      <c r="C25">
        <v>4.2853734696638411E-3</v>
      </c>
      <c r="D25" s="5">
        <v>2820504.68</v>
      </c>
      <c r="E25">
        <f t="shared" si="0"/>
        <v>282.05046800000002</v>
      </c>
      <c r="F25" s="5">
        <v>100</v>
      </c>
      <c r="G25" s="6">
        <f t="shared" si="1"/>
        <v>0</v>
      </c>
      <c r="H25" s="5">
        <v>95.4</v>
      </c>
      <c r="I25">
        <f t="shared" si="2"/>
        <v>-4.5999999999999944E-2</v>
      </c>
    </row>
    <row r="26" spans="1:9">
      <c r="A26" s="4">
        <v>45046</v>
      </c>
      <c r="B26">
        <v>0.12351765958215406</v>
      </c>
      <c r="C26">
        <v>-2.1662200596724275E-3</v>
      </c>
      <c r="D26" s="5">
        <v>2808469.34</v>
      </c>
      <c r="E26">
        <f t="shared" si="0"/>
        <v>280.84693399999998</v>
      </c>
      <c r="F26" s="5">
        <v>100.2</v>
      </c>
      <c r="G26" s="6">
        <f t="shared" si="1"/>
        <v>2.0000000000000282E-3</v>
      </c>
      <c r="H26" s="5">
        <v>96.4</v>
      </c>
      <c r="I26">
        <f t="shared" si="2"/>
        <v>-3.5999999999999942E-2</v>
      </c>
    </row>
    <row r="27" spans="1:9">
      <c r="A27" s="4">
        <v>45016</v>
      </c>
      <c r="B27">
        <v>0.12686849873351302</v>
      </c>
      <c r="C27">
        <v>2.1528752954229145E-2</v>
      </c>
      <c r="D27" s="5">
        <v>2814566.31</v>
      </c>
      <c r="E27">
        <f t="shared" si="0"/>
        <v>281.45663100000002</v>
      </c>
      <c r="F27" s="5">
        <v>100.1</v>
      </c>
      <c r="G27" s="6">
        <f t="shared" si="1"/>
        <v>9.9999999999994321E-4</v>
      </c>
      <c r="H27" s="5">
        <v>97.5</v>
      </c>
      <c r="I27">
        <f t="shared" si="2"/>
        <v>-2.5000000000000001E-2</v>
      </c>
    </row>
    <row r="28" spans="1:9">
      <c r="A28" s="4">
        <v>44985</v>
      </c>
      <c r="B28">
        <v>0.1285118805987609</v>
      </c>
      <c r="C28">
        <v>6.2734543224548757E-3</v>
      </c>
      <c r="D28" s="5">
        <v>2755249.23</v>
      </c>
      <c r="E28">
        <f t="shared" si="0"/>
        <v>275.524923</v>
      </c>
      <c r="F28" s="5">
        <v>100.7</v>
      </c>
      <c r="G28" s="6">
        <f t="shared" si="1"/>
        <v>7.0000000000000288E-3</v>
      </c>
      <c r="H28" s="5">
        <v>98.6</v>
      </c>
      <c r="I28">
        <f t="shared" si="2"/>
        <v>-1.4000000000000058E-2</v>
      </c>
    </row>
    <row r="29" spans="1:9">
      <c r="A29" s="4">
        <v>44957</v>
      </c>
      <c r="B29">
        <v>0.12630459496487134</v>
      </c>
      <c r="C29">
        <v>2.7681058111604987E-2</v>
      </c>
      <c r="D29" s="5">
        <v>2738072.06</v>
      </c>
      <c r="E29">
        <f t="shared" si="0"/>
        <v>273.80720600000001</v>
      </c>
      <c r="F29" s="5">
        <v>101</v>
      </c>
      <c r="G29" s="6">
        <f t="shared" si="1"/>
        <v>0.01</v>
      </c>
      <c r="H29" s="5">
        <v>99.2</v>
      </c>
      <c r="I29">
        <f t="shared" si="2"/>
        <v>-7.9999999999999724E-3</v>
      </c>
    </row>
    <row r="30" spans="1:9">
      <c r="A30" s="4">
        <v>44926</v>
      </c>
      <c r="B30">
        <v>0.11810035333591642</v>
      </c>
      <c r="C30">
        <v>6.5403492776116342E-3</v>
      </c>
      <c r="D30" s="5">
        <v>2664320.84</v>
      </c>
      <c r="E30">
        <f t="shared" si="0"/>
        <v>266.43208399999997</v>
      </c>
      <c r="F30" s="5">
        <v>102.1</v>
      </c>
      <c r="G30" s="6">
        <f t="shared" si="1"/>
        <v>2.0999999999999942E-2</v>
      </c>
      <c r="H30" s="5">
        <v>99.3</v>
      </c>
      <c r="I30">
        <f t="shared" si="2"/>
        <v>-7.0000000000000288E-3</v>
      </c>
    </row>
    <row r="31" spans="1:9">
      <c r="A31" s="4">
        <v>44895</v>
      </c>
      <c r="B31">
        <v>0.1235119456653538</v>
      </c>
      <c r="C31">
        <v>1.3048229892950595E-2</v>
      </c>
      <c r="D31" s="5">
        <v>2647008.48</v>
      </c>
      <c r="E31">
        <f t="shared" si="0"/>
        <v>264.70084800000001</v>
      </c>
      <c r="F31" s="5">
        <v>101.8</v>
      </c>
      <c r="G31" s="6">
        <f t="shared" si="1"/>
        <v>1.7999999999999971E-2</v>
      </c>
      <c r="H31" s="5">
        <v>98.7</v>
      </c>
      <c r="I31">
        <f t="shared" si="2"/>
        <v>-1.2999999999999972E-2</v>
      </c>
    </row>
    <row r="32" spans="1:9">
      <c r="A32" s="4">
        <v>44865</v>
      </c>
      <c r="B32">
        <v>0.11846535902362318</v>
      </c>
      <c r="C32">
        <v>-5.2106697655462993E-3</v>
      </c>
      <c r="D32" s="5">
        <v>2612914.5699999998</v>
      </c>
      <c r="E32">
        <f t="shared" si="0"/>
        <v>261.29145699999998</v>
      </c>
      <c r="F32" s="5">
        <v>101.6</v>
      </c>
      <c r="G32" s="6">
        <f t="shared" si="1"/>
        <v>1.5999999999999945E-2</v>
      </c>
      <c r="H32" s="5">
        <v>98.7</v>
      </c>
      <c r="I32">
        <f t="shared" si="2"/>
        <v>-1.2999999999999972E-2</v>
      </c>
    </row>
    <row r="33" spans="1:9">
      <c r="A33" s="4">
        <v>44834</v>
      </c>
      <c r="B33">
        <v>0.12112328096233359</v>
      </c>
      <c r="C33">
        <v>1.2150990540221859E-2</v>
      </c>
      <c r="D33" s="5">
        <v>2626600.92</v>
      </c>
      <c r="E33">
        <f t="shared" si="0"/>
        <v>262.66009200000002</v>
      </c>
      <c r="F33" s="5">
        <v>102.1</v>
      </c>
      <c r="G33" s="6">
        <f t="shared" si="1"/>
        <v>2.0999999999999942E-2</v>
      </c>
      <c r="H33" s="5">
        <v>100.9</v>
      </c>
      <c r="I33">
        <f t="shared" si="2"/>
        <v>9.0000000000000566E-3</v>
      </c>
    </row>
    <row r="34" spans="1:9">
      <c r="A34" s="4">
        <v>44804</v>
      </c>
      <c r="B34">
        <v>0.12230443406102524</v>
      </c>
      <c r="C34">
        <v>6.5900629242654106E-3</v>
      </c>
      <c r="D34" s="5">
        <v>2595068.27</v>
      </c>
      <c r="E34">
        <f t="shared" si="0"/>
        <v>259.50682699999999</v>
      </c>
      <c r="F34" s="5">
        <v>102.8</v>
      </c>
      <c r="G34" s="6">
        <f t="shared" si="1"/>
        <v>2.7999999999999973E-2</v>
      </c>
      <c r="H34" s="5">
        <v>102.3</v>
      </c>
      <c r="I34">
        <f t="shared" si="2"/>
        <v>2.2999999999999972E-2</v>
      </c>
    </row>
    <row r="35" spans="1:9">
      <c r="A35" s="4">
        <v>44773</v>
      </c>
      <c r="B35">
        <v>0.11985504513334388</v>
      </c>
      <c r="C35">
        <v>-1.3064860571450484E-3</v>
      </c>
      <c r="D35" s="5">
        <v>2578078.5699999998</v>
      </c>
      <c r="E35">
        <f t="shared" si="0"/>
        <v>257.80785699999996</v>
      </c>
      <c r="F35" s="5">
        <v>102.5</v>
      </c>
      <c r="G35" s="6">
        <f t="shared" si="1"/>
        <v>2.5000000000000001E-2</v>
      </c>
      <c r="H35" s="5">
        <v>104.2</v>
      </c>
      <c r="I35">
        <f t="shared" si="2"/>
        <v>4.200000000000003E-2</v>
      </c>
    </row>
    <row r="36" spans="1:9">
      <c r="A36" s="4">
        <v>44742</v>
      </c>
      <c r="B36">
        <v>0.11375621888100272</v>
      </c>
      <c r="C36">
        <v>2.1537193036170316E-2</v>
      </c>
      <c r="D36" s="5">
        <v>2581451.2000000002</v>
      </c>
      <c r="E36">
        <f t="shared" si="0"/>
        <v>258.14512000000002</v>
      </c>
      <c r="F36" s="5">
        <v>102.7</v>
      </c>
      <c r="G36" s="6">
        <f t="shared" si="1"/>
        <v>2.7000000000000027E-2</v>
      </c>
      <c r="H36" s="5">
        <v>106.1</v>
      </c>
      <c r="I36">
        <f t="shared" si="2"/>
        <v>6.0999999999999943E-2</v>
      </c>
    </row>
    <row r="37" spans="1:9">
      <c r="A37" s="4">
        <v>44712</v>
      </c>
      <c r="B37">
        <v>0.11051807188618035</v>
      </c>
      <c r="C37">
        <v>1.0927363640331368E-2</v>
      </c>
      <c r="D37" s="5">
        <v>2527026.15</v>
      </c>
      <c r="E37">
        <f t="shared" si="0"/>
        <v>252.70261499999998</v>
      </c>
      <c r="F37" s="5">
        <v>102.5</v>
      </c>
      <c r="G37" s="6">
        <f t="shared" si="1"/>
        <v>2.5000000000000001E-2</v>
      </c>
      <c r="H37" s="5">
        <v>106.4</v>
      </c>
      <c r="I37">
        <f t="shared" si="2"/>
        <v>6.4000000000000057E-2</v>
      </c>
    </row>
    <row r="38" spans="1:9">
      <c r="A38" s="4">
        <v>44681</v>
      </c>
      <c r="B38">
        <v>0.10503648474436515</v>
      </c>
      <c r="C38">
        <v>8.0977276772651945E-4</v>
      </c>
      <c r="D38" s="5">
        <v>2499710.9</v>
      </c>
      <c r="E38">
        <f t="shared" si="0"/>
        <v>249.97109</v>
      </c>
      <c r="F38" s="5">
        <v>102.1</v>
      </c>
      <c r="G38" s="6">
        <f t="shared" si="1"/>
        <v>2.0999999999999942E-2</v>
      </c>
      <c r="H38" s="5">
        <v>108</v>
      </c>
      <c r="I38">
        <f t="shared" si="2"/>
        <v>0.08</v>
      </c>
    </row>
    <row r="39" spans="1:9">
      <c r="A39" s="4">
        <v>44651</v>
      </c>
      <c r="B39">
        <v>9.7167147937868806E-2</v>
      </c>
      <c r="C39">
        <v>2.3018511368206485E-2</v>
      </c>
      <c r="D39" s="5">
        <v>2497688.34</v>
      </c>
      <c r="E39">
        <f t="shared" si="0"/>
        <v>249.768834</v>
      </c>
      <c r="F39" s="5">
        <v>102.1</v>
      </c>
      <c r="G39" s="6">
        <f t="shared" si="1"/>
        <v>2.0999999999999942E-2</v>
      </c>
      <c r="H39" s="5">
        <v>108.3</v>
      </c>
      <c r="I39">
        <f t="shared" si="2"/>
        <v>8.2999999999999977E-2</v>
      </c>
    </row>
    <row r="40" spans="1:9">
      <c r="A40" s="4">
        <v>44620</v>
      </c>
      <c r="B40">
        <v>9.1885447024317168E-2</v>
      </c>
      <c r="C40">
        <v>4.305257994462389E-3</v>
      </c>
      <c r="D40" s="5">
        <v>2441488.9</v>
      </c>
      <c r="E40">
        <f t="shared" si="0"/>
        <v>244.14888999999999</v>
      </c>
      <c r="F40" s="5">
        <v>101.5</v>
      </c>
      <c r="G40" s="6">
        <f t="shared" si="1"/>
        <v>1.4999999999999999E-2</v>
      </c>
      <c r="H40" s="5">
        <v>108.8</v>
      </c>
      <c r="I40">
        <f t="shared" si="2"/>
        <v>8.7999999999999967E-2</v>
      </c>
    </row>
    <row r="41" spans="1:9">
      <c r="A41" s="4">
        <v>44592</v>
      </c>
      <c r="B41">
        <v>9.8495584366919131E-2</v>
      </c>
      <c r="C41">
        <v>2.0195211249273197E-2</v>
      </c>
      <c r="D41" s="5">
        <v>2431022.7200000002</v>
      </c>
      <c r="E41">
        <f t="shared" si="0"/>
        <v>243.10227200000003</v>
      </c>
      <c r="F41" s="5">
        <v>100.9</v>
      </c>
      <c r="G41" s="6">
        <f t="shared" si="1"/>
        <v>9.0000000000000566E-3</v>
      </c>
      <c r="H41" s="5">
        <v>109.1</v>
      </c>
      <c r="I41">
        <f t="shared" si="2"/>
        <v>9.0999999999999942E-2</v>
      </c>
    </row>
    <row r="42" spans="1:9">
      <c r="A42" s="4">
        <v>44561</v>
      </c>
      <c r="B42">
        <v>8.9676256891080913E-2</v>
      </c>
      <c r="C42">
        <v>1.141199252248544E-2</v>
      </c>
      <c r="D42" s="5">
        <v>2382899.56</v>
      </c>
      <c r="E42">
        <f t="shared" si="0"/>
        <v>238.28995600000002</v>
      </c>
      <c r="F42" s="5">
        <v>100.9</v>
      </c>
      <c r="G42" s="6">
        <f t="shared" si="1"/>
        <v>9.0000000000000566E-3</v>
      </c>
      <c r="H42" s="5">
        <v>110.3</v>
      </c>
      <c r="I42">
        <f t="shared" si="2"/>
        <v>0.10299999999999997</v>
      </c>
    </row>
    <row r="43" spans="1:9">
      <c r="A43" s="4">
        <v>44530</v>
      </c>
      <c r="B43">
        <v>8.4719150076504268E-2</v>
      </c>
      <c r="C43">
        <v>8.4978237453960329E-3</v>
      </c>
      <c r="D43" s="5">
        <v>2356012.7599999998</v>
      </c>
      <c r="E43">
        <f t="shared" si="0"/>
        <v>235.60127599999998</v>
      </c>
      <c r="F43" s="5">
        <v>101.5</v>
      </c>
      <c r="G43" s="6">
        <f t="shared" si="1"/>
        <v>1.4999999999999999E-2</v>
      </c>
      <c r="H43" s="5">
        <v>112.9</v>
      </c>
      <c r="I43">
        <f t="shared" si="2"/>
        <v>0.12900000000000006</v>
      </c>
    </row>
    <row r="44" spans="1:9">
      <c r="A44" s="4">
        <v>44500</v>
      </c>
      <c r="B44">
        <v>8.6727584789839815E-2</v>
      </c>
      <c r="C44">
        <v>-2.8466516366939536E-3</v>
      </c>
      <c r="D44" s="5">
        <v>2336160.48</v>
      </c>
      <c r="E44">
        <f t="shared" si="0"/>
        <v>233.61604800000001</v>
      </c>
      <c r="F44" s="5">
        <v>102.3</v>
      </c>
      <c r="G44" s="6">
        <f t="shared" si="1"/>
        <v>2.2999999999999972E-2</v>
      </c>
      <c r="H44" s="5">
        <v>113.5</v>
      </c>
      <c r="I44">
        <f t="shared" si="2"/>
        <v>0.13500000000000001</v>
      </c>
    </row>
    <row r="45" spans="1:9">
      <c r="A45" s="4">
        <v>44469</v>
      </c>
      <c r="B45">
        <v>8.2596070172481412E-2</v>
      </c>
      <c r="C45">
        <v>1.3217336497995776E-2</v>
      </c>
      <c r="D45" s="5">
        <v>2342829.7000000002</v>
      </c>
      <c r="E45">
        <f t="shared" si="0"/>
        <v>234.28297000000001</v>
      </c>
      <c r="F45" s="5">
        <v>101.5</v>
      </c>
      <c r="G45" s="6">
        <f t="shared" si="1"/>
        <v>1.4999999999999999E-2</v>
      </c>
      <c r="H45" s="5">
        <v>110.7</v>
      </c>
      <c r="I45">
        <f t="shared" si="2"/>
        <v>0.10700000000000003</v>
      </c>
    </row>
    <row r="46" spans="1:9">
      <c r="A46" s="4">
        <v>44439</v>
      </c>
      <c r="B46">
        <v>8.2098343200183679E-2</v>
      </c>
      <c r="C46">
        <v>4.3932164359027654E-3</v>
      </c>
      <c r="D46" s="5">
        <v>2312267.6800000002</v>
      </c>
      <c r="E46">
        <f t="shared" si="0"/>
        <v>231.22676800000002</v>
      </c>
      <c r="F46" s="5">
        <v>100.7</v>
      </c>
      <c r="G46" s="6">
        <f t="shared" si="1"/>
        <v>7.0000000000000288E-3</v>
      </c>
      <c r="H46" s="5">
        <v>109.5</v>
      </c>
      <c r="I46">
        <f t="shared" si="2"/>
        <v>9.5000000000000001E-2</v>
      </c>
    </row>
    <row r="47" spans="1:9">
      <c r="A47" s="4">
        <v>44408</v>
      </c>
      <c r="B47">
        <v>8.3132822083005972E-2</v>
      </c>
      <c r="C47">
        <v>-6.745456259000299E-3</v>
      </c>
      <c r="D47" s="5">
        <v>2302153.8199999998</v>
      </c>
      <c r="E47">
        <f t="shared" si="0"/>
        <v>230.21538199999998</v>
      </c>
      <c r="F47" s="5">
        <v>100.8</v>
      </c>
      <c r="G47" s="6">
        <f t="shared" si="1"/>
        <v>7.9999999999999724E-3</v>
      </c>
      <c r="H47" s="5">
        <v>109</v>
      </c>
      <c r="I47">
        <f t="shared" si="2"/>
        <v>0.09</v>
      </c>
    </row>
    <row r="48" spans="1:9">
      <c r="A48" s="4">
        <v>44377</v>
      </c>
      <c r="B48">
        <v>8.5641263148688418E-2</v>
      </c>
      <c r="C48">
        <v>1.8567164644272483E-2</v>
      </c>
      <c r="D48" s="5">
        <v>2317788.36</v>
      </c>
      <c r="E48">
        <f t="shared" si="0"/>
        <v>231.77883599999998</v>
      </c>
      <c r="F48" s="5">
        <v>101</v>
      </c>
      <c r="G48" s="6">
        <f t="shared" si="1"/>
        <v>0.01</v>
      </c>
      <c r="H48" s="5">
        <v>108.8</v>
      </c>
      <c r="I48">
        <f t="shared" si="2"/>
        <v>8.7999999999999967E-2</v>
      </c>
    </row>
    <row r="49" spans="1:9">
      <c r="A49" s="4">
        <v>44347</v>
      </c>
      <c r="B49">
        <v>8.3494756511161061E-2</v>
      </c>
      <c r="C49">
        <v>5.9373625065110621E-3</v>
      </c>
      <c r="D49" s="5">
        <v>2275538.0699999998</v>
      </c>
      <c r="E49">
        <f t="shared" si="0"/>
        <v>227.55380699999998</v>
      </c>
      <c r="F49" s="5">
        <v>101.1</v>
      </c>
      <c r="G49" s="6">
        <f t="shared" si="1"/>
        <v>1.0999999999999944E-2</v>
      </c>
      <c r="H49" s="5">
        <v>109</v>
      </c>
      <c r="I49">
        <f t="shared" si="2"/>
        <v>0.09</v>
      </c>
    </row>
    <row r="50" spans="1:9">
      <c r="A50" s="4">
        <v>44316</v>
      </c>
      <c r="B50">
        <v>8.0520929532817739E-2</v>
      </c>
      <c r="C50">
        <v>-6.317330535984083E-3</v>
      </c>
      <c r="D50" s="5">
        <v>2262107.12</v>
      </c>
      <c r="E50">
        <f t="shared" si="0"/>
        <v>226.210712</v>
      </c>
      <c r="F50" s="5">
        <v>101.3</v>
      </c>
      <c r="G50" s="6">
        <f t="shared" si="1"/>
        <v>1.2999999999999972E-2</v>
      </c>
      <c r="H50" s="5">
        <v>106.8</v>
      </c>
      <c r="I50">
        <f t="shared" si="2"/>
        <v>6.7999999999999977E-2</v>
      </c>
    </row>
    <row r="51" spans="1:9">
      <c r="A51" s="4">
        <v>44286</v>
      </c>
      <c r="B51">
        <v>9.3979931726559926E-2</v>
      </c>
      <c r="C51">
        <v>1.8093757818823265E-2</v>
      </c>
      <c r="D51" s="5">
        <v>2276488.4500000002</v>
      </c>
      <c r="E51">
        <f t="shared" si="0"/>
        <v>227.64884500000002</v>
      </c>
      <c r="F51" s="5">
        <v>100.9</v>
      </c>
      <c r="G51" s="6">
        <f t="shared" si="1"/>
        <v>9.0000000000000566E-3</v>
      </c>
      <c r="H51" s="5">
        <v>104.4</v>
      </c>
      <c r="I51">
        <f t="shared" si="2"/>
        <v>4.400000000000006E-2</v>
      </c>
    </row>
    <row r="52" spans="1:9">
      <c r="A52" s="4">
        <v>44255</v>
      </c>
      <c r="B52">
        <v>0.10104233124496917</v>
      </c>
      <c r="C52">
        <v>1.0385195873781741E-2</v>
      </c>
      <c r="D52" s="5">
        <v>2236030.2599999998</v>
      </c>
      <c r="E52">
        <f t="shared" si="0"/>
        <v>223.60302599999997</v>
      </c>
      <c r="F52" s="5">
        <v>100.4</v>
      </c>
      <c r="G52" s="6">
        <f t="shared" si="1"/>
        <v>4.0000000000000565E-3</v>
      </c>
      <c r="H52" s="5">
        <v>101.7</v>
      </c>
      <c r="I52">
        <f t="shared" si="2"/>
        <v>1.7000000000000029E-2</v>
      </c>
    </row>
    <row r="53" spans="1:9">
      <c r="A53" s="4">
        <v>44227</v>
      </c>
      <c r="B53">
        <v>9.3907363370938982E-2</v>
      </c>
      <c r="C53">
        <v>1.2004522287628747E-2</v>
      </c>
      <c r="D53" s="5">
        <v>2213047.33</v>
      </c>
      <c r="E53">
        <f t="shared" si="0"/>
        <v>221.304733</v>
      </c>
      <c r="F53" s="5">
        <v>99.8</v>
      </c>
      <c r="G53" s="6">
        <f t="shared" si="1"/>
        <v>-2.0000000000000282E-3</v>
      </c>
      <c r="H53" s="5">
        <v>100.3</v>
      </c>
      <c r="I53">
        <f t="shared" si="2"/>
        <v>2.9999999999999714E-3</v>
      </c>
    </row>
    <row r="54" spans="1:9">
      <c r="A54" s="4">
        <v>44196</v>
      </c>
      <c r="B54">
        <v>0.10083473311468225</v>
      </c>
      <c r="C54">
        <v>6.810922022168122E-3</v>
      </c>
      <c r="D54" s="5">
        <v>2186795.89</v>
      </c>
      <c r="E54">
        <f t="shared" si="0"/>
        <v>218.67958900000002</v>
      </c>
      <c r="F54" s="5">
        <v>99.7</v>
      </c>
      <c r="G54" s="6">
        <f t="shared" si="1"/>
        <v>-2.9999999999999714E-3</v>
      </c>
      <c r="H54" s="5">
        <v>99.6</v>
      </c>
      <c r="I54">
        <f t="shared" si="2"/>
        <v>-4.0000000000000565E-3</v>
      </c>
    </row>
    <row r="55" spans="1:9">
      <c r="A55" s="4">
        <v>44165</v>
      </c>
      <c r="B55">
        <v>0.10735689636491445</v>
      </c>
      <c r="C55">
        <v>1.0365129247830231E-2</v>
      </c>
      <c r="D55" s="5">
        <v>2172002.5499999998</v>
      </c>
      <c r="E55">
        <f t="shared" si="0"/>
        <v>217.20025499999997</v>
      </c>
      <c r="F55" s="7">
        <v>100.2</v>
      </c>
      <c r="G55" s="6">
        <f t="shared" si="1"/>
        <v>2.0000000000000282E-3</v>
      </c>
      <c r="H55" s="5">
        <v>98.5</v>
      </c>
      <c r="I55">
        <f t="shared" si="2"/>
        <v>-1.4999999999999999E-2</v>
      </c>
    </row>
    <row r="56" spans="1:9">
      <c r="A56" s="4">
        <v>44135</v>
      </c>
      <c r="B56">
        <v>0.1049135548404321</v>
      </c>
      <c r="C56">
        <v>-6.6376234424824244E-3</v>
      </c>
      <c r="D56" s="5">
        <v>2149720.42</v>
      </c>
      <c r="E56">
        <f t="shared" si="0"/>
        <v>214.97204199999999</v>
      </c>
      <c r="F56" s="7">
        <v>99.5</v>
      </c>
      <c r="G56" s="6">
        <f t="shared" si="1"/>
        <v>-5.0000000000000001E-3</v>
      </c>
      <c r="H56" s="5">
        <v>97.9</v>
      </c>
      <c r="I56">
        <f t="shared" si="2"/>
        <v>-2.0999999999999942E-2</v>
      </c>
    </row>
    <row r="57" spans="1:9">
      <c r="A57" s="4">
        <v>44104</v>
      </c>
      <c r="B57">
        <v>0.10850775097000991</v>
      </c>
      <c r="C57">
        <v>1.2751506618256451E-2</v>
      </c>
      <c r="D57" s="5">
        <v>2164084.7999999998</v>
      </c>
      <c r="E57">
        <f t="shared" si="0"/>
        <v>216.40847999999997</v>
      </c>
      <c r="F57" s="7">
        <v>100.5</v>
      </c>
      <c r="G57" s="6">
        <f t="shared" si="1"/>
        <v>5.0000000000000001E-3</v>
      </c>
      <c r="H57" s="5">
        <v>97.9</v>
      </c>
      <c r="I57">
        <f t="shared" si="2"/>
        <v>-2.0999999999999942E-2</v>
      </c>
    </row>
    <row r="58" spans="1:9">
      <c r="A58" s="4">
        <v>44074</v>
      </c>
      <c r="B58">
        <v>0.10402752130629631</v>
      </c>
      <c r="C58">
        <v>5.353409729776693E-3</v>
      </c>
      <c r="D58" s="5">
        <v>2136836.91</v>
      </c>
      <c r="E58">
        <f t="shared" si="0"/>
        <v>213.68369100000001</v>
      </c>
      <c r="F58" s="7">
        <v>101.7</v>
      </c>
      <c r="G58" s="6">
        <f t="shared" si="1"/>
        <v>1.7000000000000029E-2</v>
      </c>
      <c r="H58" s="5">
        <v>98</v>
      </c>
      <c r="I58">
        <f t="shared" si="2"/>
        <v>-0.02</v>
      </c>
    </row>
    <row r="59" spans="1:9">
      <c r="A59" s="4">
        <v>44043</v>
      </c>
      <c r="B59">
        <v>0.10734942090198277</v>
      </c>
      <c r="C59">
        <v>-4.4451654401844896E-3</v>
      </c>
      <c r="D59" s="5">
        <v>2125458.46</v>
      </c>
      <c r="E59">
        <f t="shared" si="0"/>
        <v>212.54584599999998</v>
      </c>
      <c r="F59" s="7">
        <v>102.4</v>
      </c>
      <c r="G59" s="6">
        <f t="shared" si="1"/>
        <v>2.4000000000000056E-2</v>
      </c>
      <c r="H59" s="5">
        <v>97.6</v>
      </c>
      <c r="I59">
        <f t="shared" si="2"/>
        <v>-2.4000000000000056E-2</v>
      </c>
    </row>
    <row r="60" spans="1:9">
      <c r="A60" s="4">
        <v>44012</v>
      </c>
      <c r="B60">
        <v>0.11116524174470389</v>
      </c>
      <c r="C60">
        <v>1.6553275476744678E-2</v>
      </c>
      <c r="D60" s="5">
        <v>2134948.66</v>
      </c>
      <c r="E60">
        <f t="shared" si="0"/>
        <v>213.494866</v>
      </c>
      <c r="F60" s="7">
        <v>102.7</v>
      </c>
      <c r="G60" s="6">
        <f t="shared" si="1"/>
        <v>2.7000000000000027E-2</v>
      </c>
      <c r="H60" s="5">
        <v>97</v>
      </c>
      <c r="I60">
        <f t="shared" si="2"/>
        <v>-0.03</v>
      </c>
    </row>
    <row r="61" spans="1:9">
      <c r="A61" s="4">
        <v>43982</v>
      </c>
      <c r="B61">
        <v>0.11053043441154481</v>
      </c>
      <c r="C61">
        <v>3.1764043669646118E-3</v>
      </c>
      <c r="D61" s="5">
        <v>2100183.7400000002</v>
      </c>
      <c r="E61">
        <f t="shared" si="0"/>
        <v>210.01837400000002</v>
      </c>
      <c r="F61" s="7">
        <v>102.5</v>
      </c>
      <c r="G61" s="6">
        <f t="shared" si="1"/>
        <v>2.5000000000000001E-2</v>
      </c>
      <c r="H61" s="5">
        <v>96.3</v>
      </c>
      <c r="I61">
        <f t="shared" si="2"/>
        <v>-3.7000000000000026E-2</v>
      </c>
    </row>
    <row r="62" spans="1:9">
      <c r="A62" s="4">
        <v>43951</v>
      </c>
      <c r="B62">
        <v>0.11082229962202461</v>
      </c>
      <c r="C62">
        <v>6.0600115984086886E-3</v>
      </c>
      <c r="D62" s="5">
        <v>2093533.83</v>
      </c>
      <c r="E62">
        <f t="shared" si="0"/>
        <v>209.35338300000001</v>
      </c>
      <c r="F62" s="7">
        <v>102.4</v>
      </c>
      <c r="G62" s="6">
        <f t="shared" si="1"/>
        <v>2.4000000000000056E-2</v>
      </c>
      <c r="H62" s="5">
        <v>96.9</v>
      </c>
      <c r="I62">
        <f t="shared" si="2"/>
        <v>-3.0999999999999944E-2</v>
      </c>
    </row>
    <row r="63" spans="1:9">
      <c r="A63" s="4">
        <v>43921</v>
      </c>
      <c r="B63">
        <v>0.10136024107477155</v>
      </c>
      <c r="C63">
        <v>2.4666259430957307E-2</v>
      </c>
      <c r="D63" s="5">
        <v>2080923.41</v>
      </c>
      <c r="E63">
        <f t="shared" si="0"/>
        <v>208.092341</v>
      </c>
      <c r="F63" s="7">
        <v>103.3</v>
      </c>
      <c r="G63" s="6">
        <f t="shared" si="1"/>
        <v>3.2999999999999974E-2</v>
      </c>
      <c r="H63" s="5">
        <v>98.5</v>
      </c>
      <c r="I63">
        <f t="shared" si="2"/>
        <v>-1.4999999999999999E-2</v>
      </c>
    </row>
    <row r="64" spans="1:9">
      <c r="A64" s="4">
        <v>43890</v>
      </c>
      <c r="B64">
        <v>8.750164296878038E-2</v>
      </c>
      <c r="C64">
        <v>3.8377038215881547E-3</v>
      </c>
      <c r="D64" s="5">
        <v>2030830.42</v>
      </c>
      <c r="E64">
        <f t="shared" si="0"/>
        <v>203.08304200000001</v>
      </c>
      <c r="F64" s="7">
        <v>104.3</v>
      </c>
      <c r="G64" s="6">
        <f t="shared" si="1"/>
        <v>4.2999999999999969E-2</v>
      </c>
      <c r="H64" s="5">
        <v>99.6</v>
      </c>
      <c r="I64">
        <f t="shared" si="2"/>
        <v>-4.0000000000000565E-3</v>
      </c>
    </row>
    <row r="65" spans="1:9">
      <c r="A65" s="4">
        <v>43861</v>
      </c>
      <c r="B65">
        <v>8.4210399724839291E-2</v>
      </c>
      <c r="C65">
        <v>1.8413227213632102E-2</v>
      </c>
      <c r="D65" s="5">
        <v>2023066.49</v>
      </c>
      <c r="E65">
        <f t="shared" si="0"/>
        <v>202.30664899999999</v>
      </c>
      <c r="F65" s="7">
        <v>105.2</v>
      </c>
      <c r="G65" s="6">
        <f t="shared" si="1"/>
        <v>5.2000000000000025E-2</v>
      </c>
      <c r="H65" s="5">
        <v>100.1</v>
      </c>
      <c r="I65">
        <f t="shared" si="2"/>
        <v>9.9999999999994321E-4</v>
      </c>
    </row>
    <row r="66" spans="1:9">
      <c r="A66" s="4">
        <v>43830</v>
      </c>
      <c r="B66">
        <v>8.7447710659787986E-2</v>
      </c>
      <c r="C66">
        <v>1.2776018324104389E-2</v>
      </c>
      <c r="D66" s="5">
        <v>1986488.82</v>
      </c>
      <c r="E66">
        <f t="shared" si="0"/>
        <v>198.64888200000001</v>
      </c>
      <c r="F66" s="7">
        <v>105.4</v>
      </c>
      <c r="G66" s="6">
        <f t="shared" si="1"/>
        <v>5.4000000000000055E-2</v>
      </c>
      <c r="H66" s="5">
        <v>99.5</v>
      </c>
      <c r="I66">
        <f t="shared" si="2"/>
        <v>-5.0000000000000001E-3</v>
      </c>
    </row>
    <row r="67" spans="1:9">
      <c r="A67" s="4">
        <v>43799</v>
      </c>
      <c r="B67">
        <v>8.1765127070713581E-2</v>
      </c>
      <c r="C67">
        <v>8.1357964254276192E-3</v>
      </c>
      <c r="D67" s="5">
        <v>1961429.56</v>
      </c>
      <c r="E67">
        <f t="shared" ref="E67:E130" si="3">D67/10000</f>
        <v>196.142956</v>
      </c>
      <c r="F67" s="7">
        <v>104.5</v>
      </c>
      <c r="G67" s="6">
        <f t="shared" ref="G67:G114" si="4">(F67-100)/100</f>
        <v>4.4999999999999998E-2</v>
      </c>
      <c r="H67" s="5">
        <v>98.6</v>
      </c>
      <c r="I67">
        <f t="shared" ref="I67:I130" si="5">(H67-100)/100</f>
        <v>-1.4000000000000058E-2</v>
      </c>
    </row>
    <row r="68" spans="1:9">
      <c r="A68" s="4">
        <v>43769</v>
      </c>
      <c r="B68">
        <v>8.3561015116384724E-2</v>
      </c>
      <c r="C68">
        <v>-3.4062944453403334E-3</v>
      </c>
      <c r="D68" s="5">
        <v>1945600.55</v>
      </c>
      <c r="E68">
        <f t="shared" si="3"/>
        <v>194.56005500000001</v>
      </c>
      <c r="F68" s="7">
        <v>104.5</v>
      </c>
      <c r="G68" s="6">
        <f t="shared" si="4"/>
        <v>4.4999999999999998E-2</v>
      </c>
      <c r="H68" s="5">
        <v>98.4</v>
      </c>
      <c r="I68">
        <f t="shared" si="5"/>
        <v>-1.5999999999999945E-2</v>
      </c>
    </row>
    <row r="69" spans="1:9">
      <c r="A69" s="4">
        <v>43738</v>
      </c>
      <c r="B69">
        <v>8.3580944028469425E-2</v>
      </c>
      <c r="C69">
        <v>8.6582927115866105E-3</v>
      </c>
      <c r="D69" s="5">
        <v>1952250.49</v>
      </c>
      <c r="E69">
        <f t="shared" si="3"/>
        <v>195.22504900000001</v>
      </c>
      <c r="F69" s="7">
        <v>103.8</v>
      </c>
      <c r="G69" s="6">
        <f t="shared" si="4"/>
        <v>3.7999999999999971E-2</v>
      </c>
      <c r="H69" s="5">
        <v>98.8</v>
      </c>
      <c r="I69">
        <f t="shared" si="5"/>
        <v>-1.2000000000000028E-2</v>
      </c>
    </row>
    <row r="70" spans="1:9">
      <c r="A70" s="4">
        <v>43708</v>
      </c>
      <c r="B70">
        <v>8.2084434078781077E-2</v>
      </c>
      <c r="C70">
        <v>8.3784095788310021E-3</v>
      </c>
      <c r="D70" s="5">
        <v>1935492.43</v>
      </c>
      <c r="E70">
        <f t="shared" si="3"/>
        <v>193.54924299999999</v>
      </c>
      <c r="F70" s="7">
        <v>103</v>
      </c>
      <c r="G70" s="6">
        <f t="shared" si="4"/>
        <v>0.03</v>
      </c>
      <c r="H70" s="5">
        <v>99.2</v>
      </c>
      <c r="I70">
        <f t="shared" si="5"/>
        <v>-7.9999999999999724E-3</v>
      </c>
    </row>
    <row r="71" spans="1:9">
      <c r="A71" s="4">
        <v>43677</v>
      </c>
      <c r="B71">
        <v>8.0630009937359873E-2</v>
      </c>
      <c r="C71">
        <v>-1.0145781151007813E-3</v>
      </c>
      <c r="D71" s="5">
        <v>1919410.82</v>
      </c>
      <c r="E71">
        <f t="shared" si="3"/>
        <v>191.94108199999999</v>
      </c>
      <c r="F71" s="7">
        <v>102.8</v>
      </c>
      <c r="G71" s="6">
        <f t="shared" si="4"/>
        <v>2.7999999999999973E-2</v>
      </c>
      <c r="H71" s="5">
        <v>99.7</v>
      </c>
      <c r="I71">
        <f t="shared" si="5"/>
        <v>-2.9999999999999714E-3</v>
      </c>
    </row>
    <row r="72" spans="1:9">
      <c r="A72" s="4">
        <v>43646</v>
      </c>
      <c r="B72">
        <v>8.5404851037695045E-2</v>
      </c>
      <c r="C72">
        <v>1.5972519843310457E-2</v>
      </c>
      <c r="D72" s="5">
        <v>1921360.19</v>
      </c>
      <c r="E72">
        <f t="shared" si="3"/>
        <v>192.136019</v>
      </c>
      <c r="F72" s="7">
        <v>102.8</v>
      </c>
      <c r="G72" s="6">
        <f t="shared" si="4"/>
        <v>2.7999999999999973E-2</v>
      </c>
      <c r="H72" s="5">
        <v>100</v>
      </c>
      <c r="I72">
        <f t="shared" si="5"/>
        <v>0</v>
      </c>
    </row>
    <row r="73" spans="1:9">
      <c r="A73" s="4">
        <v>43616</v>
      </c>
      <c r="B73">
        <v>8.4959547005448333E-2</v>
      </c>
      <c r="C73">
        <v>3.4400552164472599E-3</v>
      </c>
      <c r="D73" s="5">
        <v>1891153.7</v>
      </c>
      <c r="E73">
        <f t="shared" si="3"/>
        <v>189.11536999999998</v>
      </c>
      <c r="F73" s="7">
        <v>102.7</v>
      </c>
      <c r="G73" s="6">
        <f t="shared" si="4"/>
        <v>2.7000000000000027E-2</v>
      </c>
      <c r="H73" s="5">
        <v>100.6</v>
      </c>
      <c r="I73">
        <f t="shared" si="5"/>
        <v>5.9999999999999429E-3</v>
      </c>
    </row>
    <row r="74" spans="1:9">
      <c r="A74" s="4">
        <v>43585</v>
      </c>
      <c r="B74">
        <v>8.458765968879739E-2</v>
      </c>
      <c r="C74">
        <v>-2.5096747817021136E-3</v>
      </c>
      <c r="D74" s="5">
        <v>1884670.33</v>
      </c>
      <c r="E74">
        <f t="shared" si="3"/>
        <v>188.46703300000001</v>
      </c>
      <c r="F74" s="7">
        <v>102.7</v>
      </c>
      <c r="G74" s="6">
        <f t="shared" si="4"/>
        <v>2.7000000000000027E-2</v>
      </c>
      <c r="H74" s="5">
        <v>100.9</v>
      </c>
      <c r="I74">
        <f t="shared" si="5"/>
        <v>9.0000000000000566E-3</v>
      </c>
    </row>
    <row r="75" spans="1:9">
      <c r="A75" s="4">
        <v>43555</v>
      </c>
      <c r="B75">
        <v>8.5956746345974971E-2</v>
      </c>
      <c r="C75">
        <v>1.1772714383094211E-2</v>
      </c>
      <c r="D75" s="5">
        <v>1889412.14</v>
      </c>
      <c r="E75">
        <f t="shared" si="3"/>
        <v>188.941214</v>
      </c>
      <c r="F75" s="7">
        <v>102.5</v>
      </c>
      <c r="G75" s="6">
        <f t="shared" si="4"/>
        <v>2.5000000000000001E-2</v>
      </c>
      <c r="H75" s="5">
        <v>100.4</v>
      </c>
      <c r="I75">
        <f t="shared" si="5"/>
        <v>4.0000000000000565E-3</v>
      </c>
    </row>
    <row r="76" spans="1:9">
      <c r="A76" s="4">
        <v>43524</v>
      </c>
      <c r="B76">
        <v>8.0018345352009107E-2</v>
      </c>
      <c r="C76">
        <v>7.996632980843333E-4</v>
      </c>
      <c r="D76" s="5">
        <v>1867427.45</v>
      </c>
      <c r="E76">
        <f t="shared" si="3"/>
        <v>186.74274499999999</v>
      </c>
      <c r="F76" s="7">
        <v>102.3</v>
      </c>
      <c r="G76" s="6">
        <f t="shared" si="4"/>
        <v>2.2999999999999972E-2</v>
      </c>
      <c r="H76" s="5">
        <v>100.1</v>
      </c>
      <c r="I76">
        <f t="shared" si="5"/>
        <v>9.9999999999994321E-4</v>
      </c>
    </row>
    <row r="77" spans="1:9">
      <c r="A77" s="4">
        <v>43496</v>
      </c>
      <c r="B77">
        <v>8.4332665358937131E-2</v>
      </c>
      <c r="C77">
        <v>2.145407636762639E-2</v>
      </c>
      <c r="D77" s="5">
        <v>1865935.33</v>
      </c>
      <c r="E77">
        <f t="shared" si="3"/>
        <v>186.59353300000001</v>
      </c>
      <c r="F77" s="7">
        <v>101.5</v>
      </c>
      <c r="G77" s="6">
        <f t="shared" si="4"/>
        <v>1.4999999999999999E-2</v>
      </c>
      <c r="H77" s="5">
        <v>100.1</v>
      </c>
      <c r="I77">
        <f t="shared" si="5"/>
        <v>9.9999999999994321E-4</v>
      </c>
    </row>
    <row r="78" spans="1:9">
      <c r="A78" s="4">
        <v>43465</v>
      </c>
      <c r="B78">
        <v>8.0763257750188583E-2</v>
      </c>
      <c r="C78">
        <v>7.4836402863182466E-3</v>
      </c>
      <c r="D78" s="5">
        <v>1826744.22</v>
      </c>
      <c r="E78">
        <f t="shared" si="3"/>
        <v>182.67442199999999</v>
      </c>
      <c r="F78" s="7">
        <v>101.7</v>
      </c>
      <c r="G78" s="6">
        <f t="shared" si="4"/>
        <v>1.7000000000000029E-2</v>
      </c>
      <c r="H78" s="5">
        <v>100.9</v>
      </c>
      <c r="I78">
        <f t="shared" si="5"/>
        <v>9.0000000000000566E-3</v>
      </c>
    </row>
    <row r="79" spans="1:9">
      <c r="A79" s="4">
        <v>43434</v>
      </c>
      <c r="B79">
        <v>7.9812941096430515E-2</v>
      </c>
      <c r="C79">
        <v>9.8094490325477957E-3</v>
      </c>
      <c r="D79" s="5">
        <v>1813175.07</v>
      </c>
      <c r="E79">
        <f t="shared" si="3"/>
        <v>181.31750700000001</v>
      </c>
      <c r="F79" s="7">
        <v>101.9</v>
      </c>
      <c r="G79" s="6">
        <f t="shared" si="4"/>
        <v>1.9000000000000059E-2</v>
      </c>
      <c r="H79" s="5">
        <v>102.7</v>
      </c>
      <c r="I79">
        <f t="shared" si="5"/>
        <v>2.7000000000000027E-2</v>
      </c>
    </row>
    <row r="80" spans="1:9">
      <c r="A80" s="4">
        <v>43404</v>
      </c>
      <c r="B80">
        <v>8.0069561913310244E-2</v>
      </c>
      <c r="C80">
        <v>-3.3879650406597552E-3</v>
      </c>
      <c r="D80" s="5">
        <v>1795561.6</v>
      </c>
      <c r="E80">
        <f t="shared" si="3"/>
        <v>179.55616000000001</v>
      </c>
      <c r="F80" s="7">
        <v>102.2</v>
      </c>
      <c r="G80" s="6">
        <f t="shared" si="4"/>
        <v>2.200000000000003E-2</v>
      </c>
      <c r="H80" s="5">
        <v>103.3</v>
      </c>
      <c r="I80">
        <f t="shared" si="5"/>
        <v>3.2999999999999974E-2</v>
      </c>
    </row>
    <row r="81" spans="1:9">
      <c r="A81" s="4">
        <v>43373</v>
      </c>
      <c r="B81">
        <v>8.2949056993739834E-2</v>
      </c>
      <c r="C81">
        <v>7.2652567974750611E-3</v>
      </c>
      <c r="D81" s="5">
        <v>1801665.58</v>
      </c>
      <c r="E81">
        <f t="shared" si="3"/>
        <v>180.16655800000001</v>
      </c>
      <c r="F81" s="7">
        <v>102.5</v>
      </c>
      <c r="G81" s="6">
        <f t="shared" si="4"/>
        <v>2.5000000000000001E-2</v>
      </c>
      <c r="H81" s="5">
        <v>103.6</v>
      </c>
      <c r="I81">
        <f t="shared" si="5"/>
        <v>3.5999999999999942E-2</v>
      </c>
    </row>
    <row r="82" spans="1:9">
      <c r="A82" s="4">
        <v>43343</v>
      </c>
      <c r="B82">
        <v>8.2109774461653975E-2</v>
      </c>
      <c r="C82">
        <v>7.0230533271463088E-3</v>
      </c>
      <c r="D82" s="5">
        <v>1788670.43</v>
      </c>
      <c r="E82">
        <f t="shared" si="3"/>
        <v>178.867043</v>
      </c>
      <c r="F82" s="7">
        <v>102.5</v>
      </c>
      <c r="G82" s="6">
        <f t="shared" si="4"/>
        <v>2.5000000000000001E-2</v>
      </c>
      <c r="H82" s="5">
        <v>104.1</v>
      </c>
      <c r="I82">
        <f t="shared" si="5"/>
        <v>4.0999999999999946E-2</v>
      </c>
    </row>
    <row r="83" spans="1:9">
      <c r="A83" s="4">
        <v>43312</v>
      </c>
      <c r="B83">
        <v>8.54681210080947E-2</v>
      </c>
      <c r="C83">
        <v>3.3995105250325653E-3</v>
      </c>
      <c r="D83" s="5">
        <v>1776196.11</v>
      </c>
      <c r="E83">
        <f t="shared" si="3"/>
        <v>177.61961100000002</v>
      </c>
      <c r="F83" s="7">
        <v>102.3</v>
      </c>
      <c r="G83" s="6">
        <f t="shared" si="4"/>
        <v>2.2999999999999972E-2</v>
      </c>
      <c r="H83" s="5">
        <v>104.6</v>
      </c>
      <c r="I83">
        <f t="shared" si="5"/>
        <v>4.5999999999999944E-2</v>
      </c>
    </row>
    <row r="84" spans="1:9">
      <c r="A84" s="4">
        <v>43281</v>
      </c>
      <c r="B84">
        <v>7.9708176358109367E-2</v>
      </c>
      <c r="C84">
        <v>1.5555701492714775E-2</v>
      </c>
      <c r="D84" s="5">
        <v>1770178.37</v>
      </c>
      <c r="E84">
        <f t="shared" si="3"/>
        <v>177.01783700000001</v>
      </c>
      <c r="F84" s="7">
        <v>102.1</v>
      </c>
      <c r="G84" s="6">
        <f t="shared" si="4"/>
        <v>2.0999999999999942E-2</v>
      </c>
      <c r="H84" s="5">
        <v>104.7</v>
      </c>
      <c r="I84">
        <f t="shared" si="5"/>
        <v>4.7000000000000028E-2</v>
      </c>
    </row>
    <row r="85" spans="1:9">
      <c r="A85" s="4">
        <v>43251</v>
      </c>
      <c r="B85">
        <v>8.2822664670411508E-2</v>
      </c>
      <c r="C85">
        <v>3.096110015370896E-3</v>
      </c>
      <c r="D85" s="5">
        <v>1743063.79</v>
      </c>
      <c r="E85">
        <f t="shared" si="3"/>
        <v>174.30637899999999</v>
      </c>
      <c r="F85" s="7">
        <v>101.9</v>
      </c>
      <c r="G85" s="6">
        <f t="shared" si="4"/>
        <v>1.9000000000000059E-2</v>
      </c>
      <c r="H85" s="5">
        <v>104.1</v>
      </c>
      <c r="I85">
        <f t="shared" si="5"/>
        <v>4.0999999999999946E-2</v>
      </c>
    </row>
    <row r="86" spans="1:9">
      <c r="A86" s="4">
        <v>43220</v>
      </c>
      <c r="B86">
        <v>8.3398789679407906E-2</v>
      </c>
      <c r="C86">
        <v>-1.2505320257242844E-3</v>
      </c>
      <c r="D86" s="5">
        <v>1737683.73</v>
      </c>
      <c r="E86">
        <f t="shared" si="3"/>
        <v>173.768373</v>
      </c>
      <c r="F86" s="7">
        <v>101.8</v>
      </c>
      <c r="G86" s="6">
        <f t="shared" si="4"/>
        <v>1.7999999999999971E-2</v>
      </c>
      <c r="H86" s="5">
        <v>103.4</v>
      </c>
      <c r="I86">
        <f t="shared" si="5"/>
        <v>3.4000000000000058E-2</v>
      </c>
    </row>
    <row r="87" spans="1:9">
      <c r="A87" s="4">
        <v>43190</v>
      </c>
      <c r="B87">
        <v>8.204322529701967E-2</v>
      </c>
      <c r="C87">
        <v>6.2399782838187439E-3</v>
      </c>
      <c r="D87" s="5">
        <v>1739859.48</v>
      </c>
      <c r="E87">
        <f t="shared" si="3"/>
        <v>173.98594800000001</v>
      </c>
      <c r="F87" s="7">
        <v>101.8</v>
      </c>
      <c r="G87" s="6">
        <f t="shared" si="4"/>
        <v>1.7999999999999971E-2</v>
      </c>
      <c r="H87" s="5">
        <v>103.1</v>
      </c>
      <c r="I87">
        <f t="shared" si="5"/>
        <v>3.0999999999999944E-2</v>
      </c>
    </row>
    <row r="88" spans="1:9">
      <c r="A88" s="4">
        <v>43159</v>
      </c>
      <c r="B88">
        <v>8.7563296573213892E-2</v>
      </c>
      <c r="C88">
        <v>4.7975305832798206E-3</v>
      </c>
      <c r="D88" s="5">
        <v>1729070.12</v>
      </c>
      <c r="E88">
        <f t="shared" si="3"/>
        <v>172.90701200000001</v>
      </c>
      <c r="F88" s="7">
        <v>102.1</v>
      </c>
      <c r="G88" s="6">
        <f t="shared" si="4"/>
        <v>2.0999999999999942E-2</v>
      </c>
      <c r="H88" s="5">
        <v>103.7</v>
      </c>
      <c r="I88">
        <f t="shared" si="5"/>
        <v>3.7000000000000026E-2</v>
      </c>
    </row>
    <row r="89" spans="1:9">
      <c r="A89" s="4">
        <v>43131</v>
      </c>
      <c r="B89">
        <v>8.6239344238121796E-2</v>
      </c>
      <c r="C89">
        <v>1.8091652575877085E-2</v>
      </c>
      <c r="D89" s="5">
        <v>1720814.46</v>
      </c>
      <c r="E89">
        <f t="shared" si="3"/>
        <v>172.081446</v>
      </c>
      <c r="F89" s="7">
        <v>102.9</v>
      </c>
      <c r="G89" s="6">
        <f t="shared" si="4"/>
        <v>2.9000000000000057E-2</v>
      </c>
      <c r="H89" s="5">
        <v>104.3</v>
      </c>
      <c r="I89">
        <f t="shared" si="5"/>
        <v>4.2999999999999969E-2</v>
      </c>
    </row>
    <row r="90" spans="1:9">
      <c r="A90" s="4">
        <v>43100</v>
      </c>
      <c r="B90">
        <v>9.0427491096237905E-2</v>
      </c>
      <c r="C90">
        <v>6.5977585033401998E-3</v>
      </c>
      <c r="D90" s="5">
        <v>1690235.31</v>
      </c>
      <c r="E90">
        <f t="shared" si="3"/>
        <v>169.02353100000002</v>
      </c>
      <c r="F90" s="7">
        <v>101.5</v>
      </c>
      <c r="G90" s="6">
        <f t="shared" si="4"/>
        <v>1.4999999999999999E-2</v>
      </c>
      <c r="H90" s="5">
        <v>104.9</v>
      </c>
      <c r="I90">
        <f t="shared" si="5"/>
        <v>4.9000000000000057E-2</v>
      </c>
    </row>
    <row r="91" spans="1:9">
      <c r="A91" s="4">
        <v>43069</v>
      </c>
      <c r="B91">
        <v>9.7178165491384069E-2</v>
      </c>
      <c r="C91">
        <v>1.004943330745422E-2</v>
      </c>
      <c r="D91" s="5">
        <v>1679156.64</v>
      </c>
      <c r="E91">
        <f t="shared" si="3"/>
        <v>167.91566399999999</v>
      </c>
      <c r="F91" s="7">
        <v>101.8</v>
      </c>
      <c r="G91" s="6">
        <f t="shared" si="4"/>
        <v>1.7999999999999971E-2</v>
      </c>
      <c r="H91" s="5">
        <v>105.8</v>
      </c>
      <c r="I91">
        <f t="shared" si="5"/>
        <v>5.7999999999999968E-2</v>
      </c>
    </row>
    <row r="92" spans="1:9">
      <c r="A92" s="4">
        <v>43039</v>
      </c>
      <c r="B92">
        <v>9.4087485144641769E-2</v>
      </c>
      <c r="C92">
        <v>-7.3097001648863593E-4</v>
      </c>
      <c r="D92" s="5">
        <v>1662449.96</v>
      </c>
      <c r="E92">
        <f t="shared" si="3"/>
        <v>166.24499599999999</v>
      </c>
      <c r="F92" s="7">
        <v>101.7</v>
      </c>
      <c r="G92" s="6">
        <f t="shared" si="4"/>
        <v>1.7000000000000029E-2</v>
      </c>
      <c r="H92" s="5">
        <v>106.9</v>
      </c>
      <c r="I92">
        <f t="shared" si="5"/>
        <v>6.9000000000000061E-2</v>
      </c>
    </row>
    <row r="93" spans="1:9">
      <c r="A93" s="4">
        <v>43008</v>
      </c>
      <c r="B93">
        <v>9.7144148769372482E-2</v>
      </c>
      <c r="C93">
        <v>6.4846290017836622E-3</v>
      </c>
      <c r="D93" s="5">
        <v>1663666.05</v>
      </c>
      <c r="E93">
        <f t="shared" si="3"/>
        <v>166.36660499999999</v>
      </c>
      <c r="F93" s="7">
        <v>101.9</v>
      </c>
      <c r="G93" s="6">
        <f t="shared" si="4"/>
        <v>1.9000000000000059E-2</v>
      </c>
      <c r="H93" s="5">
        <v>106.9</v>
      </c>
      <c r="I93">
        <f t="shared" si="5"/>
        <v>6.9000000000000061E-2</v>
      </c>
    </row>
    <row r="94" spans="1:9">
      <c r="A94" s="4">
        <v>42978</v>
      </c>
      <c r="B94">
        <v>9.395499383907667E-2</v>
      </c>
      <c r="C94">
        <v>1.0148366925768884E-2</v>
      </c>
      <c r="D94" s="5">
        <v>1652947.3</v>
      </c>
      <c r="E94">
        <f t="shared" si="3"/>
        <v>165.29473000000002</v>
      </c>
      <c r="F94" s="7">
        <v>101.6</v>
      </c>
      <c r="G94" s="6">
        <f t="shared" si="4"/>
        <v>1.5999999999999945E-2</v>
      </c>
      <c r="H94" s="5">
        <v>106.3</v>
      </c>
      <c r="I94">
        <f t="shared" si="5"/>
        <v>6.2999999999999973E-2</v>
      </c>
    </row>
    <row r="95" spans="1:9">
      <c r="A95" s="4">
        <v>42947</v>
      </c>
      <c r="B95">
        <v>9.7067844570008027E-2</v>
      </c>
      <c r="C95">
        <v>-1.924943994257229E-3</v>
      </c>
      <c r="D95" s="5">
        <v>1636341.11</v>
      </c>
      <c r="E95">
        <f t="shared" si="3"/>
        <v>163.63411100000002</v>
      </c>
      <c r="F95" s="7">
        <v>101.8</v>
      </c>
      <c r="G95" s="6">
        <f t="shared" si="4"/>
        <v>1.7999999999999971E-2</v>
      </c>
      <c r="H95" s="5">
        <v>105.5</v>
      </c>
      <c r="I95">
        <f t="shared" si="5"/>
        <v>5.5E-2</v>
      </c>
    </row>
    <row r="96" spans="1:9">
      <c r="A96" s="4">
        <v>42916</v>
      </c>
      <c r="B96">
        <v>9.9970504367004789E-2</v>
      </c>
      <c r="C96">
        <v>1.8485137827502517E-2</v>
      </c>
      <c r="D96" s="5">
        <v>1639497.05</v>
      </c>
      <c r="E96">
        <f t="shared" si="3"/>
        <v>163.94970499999999</v>
      </c>
      <c r="F96" s="7">
        <v>101.4</v>
      </c>
      <c r="G96" s="6">
        <f t="shared" si="4"/>
        <v>1.4000000000000058E-2</v>
      </c>
      <c r="H96" s="5">
        <v>105.5</v>
      </c>
      <c r="I96">
        <f t="shared" si="5"/>
        <v>5.5E-2</v>
      </c>
    </row>
    <row r="97" spans="1:9">
      <c r="A97" s="4">
        <v>42886</v>
      </c>
      <c r="B97">
        <v>0.10128354332388777</v>
      </c>
      <c r="C97">
        <v>3.6298158328260141E-3</v>
      </c>
      <c r="D97" s="5">
        <v>1609740.77</v>
      </c>
      <c r="E97">
        <f t="shared" si="3"/>
        <v>160.97407699999999</v>
      </c>
      <c r="F97" s="7">
        <v>101.5</v>
      </c>
      <c r="G97" s="6">
        <f t="shared" si="4"/>
        <v>1.4999999999999999E-2</v>
      </c>
      <c r="H97" s="5">
        <v>105.5</v>
      </c>
      <c r="I97">
        <f t="shared" si="5"/>
        <v>5.5E-2</v>
      </c>
    </row>
    <row r="98" spans="1:9">
      <c r="A98" s="4">
        <v>42855</v>
      </c>
      <c r="B98">
        <v>0.10981746253150727</v>
      </c>
      <c r="C98">
        <v>-2.5001819409837915E-3</v>
      </c>
      <c r="D98" s="5">
        <v>1603918.84</v>
      </c>
      <c r="E98">
        <f t="shared" si="3"/>
        <v>160.391884</v>
      </c>
      <c r="F98" s="7">
        <v>101.5</v>
      </c>
      <c r="G98" s="6">
        <f t="shared" si="4"/>
        <v>1.4999999999999999E-2</v>
      </c>
      <c r="H98" s="5">
        <v>106.4</v>
      </c>
      <c r="I98">
        <f t="shared" si="5"/>
        <v>6.4000000000000057E-2</v>
      </c>
    </row>
    <row r="99" spans="1:9">
      <c r="A99" s="4">
        <v>42825</v>
      </c>
      <c r="B99">
        <v>0.11183872930597198</v>
      </c>
      <c r="C99">
        <v>1.13733373504661E-2</v>
      </c>
      <c r="D99" s="5">
        <v>1607938.98</v>
      </c>
      <c r="E99">
        <f t="shared" si="3"/>
        <v>160.79389799999998</v>
      </c>
      <c r="F99" s="7">
        <v>101.2</v>
      </c>
      <c r="G99" s="6">
        <f t="shared" si="4"/>
        <v>1.2000000000000028E-2</v>
      </c>
      <c r="H99" s="5">
        <v>107.6</v>
      </c>
      <c r="I99">
        <f t="shared" si="5"/>
        <v>7.5999999999999943E-2</v>
      </c>
    </row>
    <row r="100" spans="1:9">
      <c r="A100" s="4">
        <v>42794</v>
      </c>
      <c r="B100">
        <v>0.11598775329830721</v>
      </c>
      <c r="C100">
        <v>3.5743336980023112E-3</v>
      </c>
      <c r="D100" s="5">
        <v>1589857</v>
      </c>
      <c r="E100">
        <f t="shared" si="3"/>
        <v>158.98570000000001</v>
      </c>
      <c r="F100" s="7">
        <v>100.9</v>
      </c>
      <c r="G100" s="6">
        <f t="shared" si="4"/>
        <v>9.0000000000000566E-3</v>
      </c>
      <c r="H100" s="5">
        <v>107.8</v>
      </c>
      <c r="I100">
        <f t="shared" si="5"/>
        <v>7.7999999999999972E-2</v>
      </c>
    </row>
    <row r="101" spans="1:9">
      <c r="A101" s="4">
        <v>42766</v>
      </c>
      <c r="B101">
        <v>0.11852904946486123</v>
      </c>
      <c r="C101">
        <v>2.2017046531295412E-2</v>
      </c>
      <c r="D101" s="5">
        <v>1584194.5600000001</v>
      </c>
      <c r="E101">
        <f t="shared" si="3"/>
        <v>158.419456</v>
      </c>
      <c r="F101" s="7">
        <v>100.8</v>
      </c>
      <c r="G101" s="6">
        <f t="shared" si="4"/>
        <v>7.9999999999999724E-3</v>
      </c>
      <c r="H101" s="5">
        <v>106.9</v>
      </c>
      <c r="I101">
        <f t="shared" si="5"/>
        <v>6.9000000000000061E-2</v>
      </c>
    </row>
    <row r="102" spans="1:9">
      <c r="A102" s="4">
        <v>42735</v>
      </c>
      <c r="B102">
        <v>0.11333120794379208</v>
      </c>
      <c r="C102">
        <v>1.2829455493764205E-2</v>
      </c>
      <c r="D102" s="5">
        <v>1550066.67</v>
      </c>
      <c r="E102">
        <f t="shared" si="3"/>
        <v>155.00666699999999</v>
      </c>
      <c r="F102" s="7">
        <v>102.5</v>
      </c>
      <c r="G102" s="6">
        <f t="shared" si="4"/>
        <v>2.5000000000000001E-2</v>
      </c>
      <c r="H102" s="5">
        <v>105.5</v>
      </c>
      <c r="I102">
        <f t="shared" si="5"/>
        <v>5.5E-2</v>
      </c>
    </row>
    <row r="103" spans="1:9">
      <c r="A103" s="4">
        <v>42704</v>
      </c>
      <c r="B103">
        <v>0.11388723427906548</v>
      </c>
      <c r="C103">
        <v>7.2041889971434731E-3</v>
      </c>
      <c r="D103" s="5">
        <v>1530432.06</v>
      </c>
      <c r="E103">
        <f t="shared" si="3"/>
        <v>153.043206</v>
      </c>
      <c r="F103" s="7">
        <v>102.1</v>
      </c>
      <c r="G103" s="6">
        <f t="shared" si="4"/>
        <v>2.0999999999999942E-2</v>
      </c>
      <c r="H103" s="5">
        <v>103.3</v>
      </c>
      <c r="I103">
        <f t="shared" si="5"/>
        <v>3.2999999999999974E-2</v>
      </c>
    </row>
    <row r="104" spans="1:9">
      <c r="A104" s="4">
        <v>42674</v>
      </c>
      <c r="B104">
        <v>0.11643077875303437</v>
      </c>
      <c r="C104">
        <v>2.0607896341271795E-3</v>
      </c>
      <c r="D104" s="5">
        <v>1519485.4</v>
      </c>
      <c r="E104">
        <f t="shared" si="3"/>
        <v>151.94853999999998</v>
      </c>
      <c r="F104" s="7">
        <v>102.3</v>
      </c>
      <c r="G104" s="6">
        <f t="shared" si="4"/>
        <v>2.2999999999999972E-2</v>
      </c>
      <c r="H104" s="5">
        <v>101.2</v>
      </c>
      <c r="I104">
        <f t="shared" si="5"/>
        <v>1.2000000000000028E-2</v>
      </c>
    </row>
    <row r="105" spans="1:9">
      <c r="A105" s="4">
        <v>42643</v>
      </c>
      <c r="B105">
        <v>0.1151152157140093</v>
      </c>
      <c r="C105">
        <v>3.5590012067046369E-3</v>
      </c>
      <c r="D105" s="5">
        <v>1516360.5</v>
      </c>
      <c r="E105">
        <f t="shared" si="3"/>
        <v>151.63605000000001</v>
      </c>
      <c r="F105" s="7">
        <v>102.1</v>
      </c>
      <c r="G105" s="6">
        <f t="shared" si="4"/>
        <v>2.0999999999999942E-2</v>
      </c>
      <c r="H105" s="5">
        <v>100.1</v>
      </c>
      <c r="I105">
        <f t="shared" si="5"/>
        <v>9.9999999999994321E-4</v>
      </c>
    </row>
    <row r="106" spans="1:9">
      <c r="A106" s="4">
        <v>42613</v>
      </c>
      <c r="B106">
        <v>0.11354854733774941</v>
      </c>
      <c r="C106">
        <v>1.3022745762231837E-2</v>
      </c>
      <c r="D106" s="5">
        <v>1510982.91</v>
      </c>
      <c r="E106">
        <f t="shared" si="3"/>
        <v>151.09829099999999</v>
      </c>
      <c r="F106" s="7">
        <v>101.9</v>
      </c>
      <c r="G106" s="6">
        <f t="shared" si="4"/>
        <v>1.9000000000000059E-2</v>
      </c>
      <c r="H106" s="5">
        <v>99.2</v>
      </c>
      <c r="I106">
        <f t="shared" si="5"/>
        <v>-7.9999999999999724E-3</v>
      </c>
    </row>
    <row r="107" spans="1:9">
      <c r="A107" s="4">
        <v>42582</v>
      </c>
      <c r="B107">
        <v>0.10223668605925827</v>
      </c>
      <c r="C107">
        <v>7.1579728149190694E-4</v>
      </c>
      <c r="D107" s="5">
        <v>1491558.72</v>
      </c>
      <c r="E107">
        <f t="shared" si="3"/>
        <v>149.15587199999999</v>
      </c>
      <c r="F107" s="7">
        <v>101.3</v>
      </c>
      <c r="G107" s="6">
        <f t="shared" si="4"/>
        <v>1.2999999999999972E-2</v>
      </c>
      <c r="H107" s="5">
        <v>98.3</v>
      </c>
      <c r="I107">
        <f t="shared" si="5"/>
        <v>-1.7000000000000029E-2</v>
      </c>
    </row>
    <row r="108" spans="1:9">
      <c r="A108" s="4">
        <v>42551</v>
      </c>
      <c r="B108">
        <v>0.11783363838371812</v>
      </c>
      <c r="C108">
        <v>1.970090739374504E-2</v>
      </c>
      <c r="D108" s="5">
        <v>1490491.83</v>
      </c>
      <c r="E108">
        <f t="shared" si="3"/>
        <v>149.049183</v>
      </c>
      <c r="F108" s="7">
        <v>101.8</v>
      </c>
      <c r="G108" s="6">
        <f t="shared" si="4"/>
        <v>1.7999999999999971E-2</v>
      </c>
      <c r="H108" s="5">
        <v>97.4</v>
      </c>
      <c r="I108">
        <f t="shared" si="5"/>
        <v>-2.5999999999999943E-2</v>
      </c>
    </row>
    <row r="109" spans="1:9">
      <c r="A109" s="4">
        <v>42521</v>
      </c>
      <c r="B109">
        <v>0.11805299212580435</v>
      </c>
      <c r="C109">
        <v>1.1407009830318119E-2</v>
      </c>
      <c r="D109" s="5">
        <v>1461695.11</v>
      </c>
      <c r="E109">
        <f t="shared" si="3"/>
        <v>146.169511</v>
      </c>
      <c r="F109" s="7">
        <v>101.9</v>
      </c>
      <c r="G109" s="6">
        <f t="shared" si="4"/>
        <v>1.9000000000000059E-2</v>
      </c>
      <c r="H109" s="5">
        <v>97.2</v>
      </c>
      <c r="I109">
        <f t="shared" si="5"/>
        <v>-2.7999999999999973E-2</v>
      </c>
    </row>
    <row r="110" spans="1:9">
      <c r="A110" s="4">
        <v>42490</v>
      </c>
      <c r="B110">
        <v>0.12838314184286309</v>
      </c>
      <c r="C110">
        <v>-6.8347486270600439E-4</v>
      </c>
      <c r="D110" s="5">
        <v>1445209.59</v>
      </c>
      <c r="E110">
        <f t="shared" si="3"/>
        <v>144.520959</v>
      </c>
      <c r="F110" s="7">
        <v>102</v>
      </c>
      <c r="G110" s="6">
        <f t="shared" si="4"/>
        <v>0.02</v>
      </c>
      <c r="H110" s="5">
        <v>96.6</v>
      </c>
      <c r="I110">
        <f t="shared" si="5"/>
        <v>-3.4000000000000058E-2</v>
      </c>
    </row>
    <row r="111" spans="1:9">
      <c r="A111" s="4">
        <v>42460</v>
      </c>
      <c r="B111">
        <v>0.13397699226393286</v>
      </c>
      <c r="C111">
        <v>1.5147456861930305E-2</v>
      </c>
      <c r="D111" s="5">
        <v>1446198.03</v>
      </c>
      <c r="E111">
        <f t="shared" si="3"/>
        <v>144.61980299999999</v>
      </c>
      <c r="F111" s="7">
        <v>102.3</v>
      </c>
      <c r="G111" s="6">
        <f t="shared" si="4"/>
        <v>2.2999999999999972E-2</v>
      </c>
      <c r="H111" s="5">
        <v>95.7</v>
      </c>
      <c r="I111">
        <f t="shared" si="5"/>
        <v>-4.2999999999999969E-2</v>
      </c>
    </row>
    <row r="112" spans="1:9">
      <c r="A112" s="4">
        <v>42429</v>
      </c>
      <c r="B112">
        <v>0.13300524595387384</v>
      </c>
      <c r="C112">
        <v>5.8596451627034932E-3</v>
      </c>
      <c r="D112" s="5">
        <v>1424618.68</v>
      </c>
      <c r="E112">
        <f t="shared" si="3"/>
        <v>142.46186799999998</v>
      </c>
      <c r="F112" s="7">
        <v>102.3</v>
      </c>
      <c r="G112" s="6">
        <f t="shared" si="4"/>
        <v>2.2999999999999972E-2</v>
      </c>
      <c r="H112" s="5">
        <v>95.1</v>
      </c>
      <c r="I112">
        <f t="shared" si="5"/>
        <v>-4.9000000000000057E-2</v>
      </c>
    </row>
    <row r="113" spans="1:9">
      <c r="A113" s="4">
        <v>42400</v>
      </c>
      <c r="B113">
        <v>0.13970218254099501</v>
      </c>
      <c r="C113">
        <v>1.7267699482828143E-2</v>
      </c>
      <c r="D113" s="5">
        <v>1416319.55</v>
      </c>
      <c r="E113">
        <f t="shared" si="3"/>
        <v>141.631955</v>
      </c>
      <c r="F113" s="7">
        <v>102.3</v>
      </c>
      <c r="G113" s="6">
        <f t="shared" si="4"/>
        <v>2.2999999999999972E-2</v>
      </c>
      <c r="H113" s="5">
        <v>94.7</v>
      </c>
      <c r="I113">
        <f t="shared" si="5"/>
        <v>-5.2999999999999971E-2</v>
      </c>
    </row>
    <row r="114" spans="1:9">
      <c r="A114" s="4"/>
      <c r="D114" s="5"/>
      <c r="F114" s="7"/>
      <c r="G114" s="6"/>
      <c r="H114" s="5"/>
    </row>
    <row r="115" spans="1:9">
      <c r="A115" s="4"/>
      <c r="D115" s="5"/>
      <c r="G115" s="6"/>
      <c r="H115" s="5"/>
    </row>
    <row r="116" spans="1:9">
      <c r="A116" s="4"/>
      <c r="D116" s="5"/>
      <c r="G116" s="6"/>
      <c r="H116" s="5"/>
    </row>
    <row r="117" spans="1:9">
      <c r="A117" s="4"/>
      <c r="D117" s="5"/>
      <c r="G117" s="6"/>
      <c r="H117" s="5"/>
    </row>
    <row r="118" spans="1:9">
      <c r="A118" s="4"/>
      <c r="D118" s="5"/>
      <c r="G118" s="6"/>
      <c r="H118" s="5"/>
    </row>
    <row r="119" spans="1:9">
      <c r="A119" s="4"/>
      <c r="D119" s="5"/>
      <c r="G119" s="6"/>
      <c r="H119" s="5"/>
    </row>
    <row r="120" spans="1:9">
      <c r="A120" s="4"/>
      <c r="D120" s="5"/>
      <c r="G120" s="6"/>
      <c r="H120" s="5"/>
    </row>
    <row r="121" spans="1:9">
      <c r="A121" s="4"/>
      <c r="D121" s="5"/>
      <c r="G121" s="6"/>
      <c r="H121" s="5"/>
    </row>
    <row r="122" spans="1:9">
      <c r="A122" s="4"/>
      <c r="D122" s="5"/>
      <c r="G122" s="6"/>
      <c r="H122" s="5"/>
    </row>
    <row r="123" spans="1:9">
      <c r="A123" s="4"/>
      <c r="D123" s="5"/>
      <c r="G123" s="6"/>
      <c r="H123" s="5"/>
    </row>
    <row r="124" spans="1:9">
      <c r="A124" s="4"/>
      <c r="D124" s="5"/>
      <c r="G124" s="6"/>
      <c r="H124" s="5"/>
    </row>
    <row r="125" spans="1:9">
      <c r="A125" s="4"/>
      <c r="D125" s="5"/>
      <c r="G125" s="6"/>
      <c r="H125" s="5"/>
    </row>
    <row r="126" spans="1:9">
      <c r="A126" s="4"/>
      <c r="D126" s="5"/>
      <c r="G126" s="6"/>
      <c r="H126" s="5"/>
    </row>
    <row r="127" spans="1:9">
      <c r="A127" s="4"/>
      <c r="D127" s="5"/>
      <c r="G127" s="6"/>
      <c r="H127" s="5"/>
    </row>
    <row r="128" spans="1:9">
      <c r="A128" s="4"/>
      <c r="D128" s="5"/>
      <c r="G128" s="6"/>
      <c r="H128" s="5"/>
    </row>
    <row r="129" spans="1:8">
      <c r="A129" s="4"/>
      <c r="D129" s="5"/>
      <c r="G129" s="6"/>
      <c r="H129" s="5"/>
    </row>
    <row r="130" spans="1:8">
      <c r="A130" s="4"/>
      <c r="D130" s="5"/>
      <c r="G130" s="6"/>
      <c r="H130" s="5"/>
    </row>
    <row r="131" spans="1:8">
      <c r="A131" s="4"/>
      <c r="D131" s="5"/>
      <c r="G131" s="6"/>
      <c r="H131" s="5"/>
    </row>
    <row r="132" spans="1:8">
      <c r="A132" s="4"/>
      <c r="D132" s="5"/>
      <c r="G132" s="6"/>
      <c r="H132" s="5"/>
    </row>
    <row r="133" spans="1:8">
      <c r="A133" s="4"/>
      <c r="D133" s="5"/>
      <c r="G133" s="6"/>
      <c r="H133" s="5"/>
    </row>
    <row r="134" spans="1:8">
      <c r="A134" s="4"/>
      <c r="D134" s="5"/>
      <c r="G134" s="6"/>
      <c r="H134" s="5"/>
    </row>
    <row r="135" spans="1:8">
      <c r="A135" s="4"/>
      <c r="D135" s="5"/>
      <c r="G135" s="6"/>
      <c r="H135" s="5"/>
    </row>
    <row r="136" spans="1:8">
      <c r="A136" s="4"/>
      <c r="D136" s="5"/>
      <c r="G136" s="6"/>
      <c r="H136" s="5"/>
    </row>
    <row r="137" spans="1:8">
      <c r="A137" s="4"/>
      <c r="D137" s="5"/>
      <c r="G137" s="6"/>
      <c r="H137" s="5"/>
    </row>
    <row r="138" spans="1:8">
      <c r="A138" s="4"/>
      <c r="D138" s="5"/>
      <c r="G138" s="6"/>
      <c r="H138" s="5"/>
    </row>
    <row r="139" spans="1:8">
      <c r="A139" s="4"/>
      <c r="D139" s="5"/>
      <c r="G139" s="6"/>
      <c r="H139" s="5"/>
    </row>
    <row r="140" spans="1:8">
      <c r="A140" s="4"/>
      <c r="D140" s="5"/>
      <c r="G140" s="6"/>
      <c r="H140" s="5"/>
    </row>
    <row r="141" spans="1:8">
      <c r="A141" s="4"/>
      <c r="D141" s="5"/>
      <c r="G141" s="6"/>
      <c r="H141" s="5"/>
    </row>
    <row r="142" spans="1:8">
      <c r="A142" s="4"/>
      <c r="D142" s="5"/>
      <c r="G142" s="6"/>
      <c r="H142" s="5"/>
    </row>
    <row r="143" spans="1:8">
      <c r="A143" s="4"/>
      <c r="D143" s="5"/>
      <c r="G143" s="6"/>
      <c r="H143" s="5"/>
    </row>
    <row r="144" spans="1:8">
      <c r="A144" s="4"/>
      <c r="D144" s="5"/>
      <c r="G144" s="6"/>
      <c r="H144" s="5"/>
    </row>
    <row r="145" spans="1:8">
      <c r="A145" s="4"/>
      <c r="D145" s="5"/>
      <c r="G145" s="6"/>
      <c r="H145" s="5"/>
    </row>
    <row r="146" spans="1:8">
      <c r="A146" s="4"/>
      <c r="D146" s="5"/>
      <c r="G146" s="6"/>
      <c r="H146" s="5"/>
    </row>
    <row r="147" spans="1:8">
      <c r="A147" s="4"/>
      <c r="D147" s="5"/>
      <c r="G147" s="6"/>
      <c r="H147" s="5"/>
    </row>
    <row r="148" spans="1:8">
      <c r="A148" s="4"/>
      <c r="D148" s="5"/>
      <c r="H148" s="5"/>
    </row>
    <row r="149" spans="1:8">
      <c r="A149" s="4"/>
      <c r="D149" s="5"/>
      <c r="H149" s="5"/>
    </row>
    <row r="150" spans="1:8">
      <c r="A150" s="4"/>
      <c r="D150" s="5"/>
      <c r="H150" s="5"/>
    </row>
    <row r="151" spans="1:8">
      <c r="A151" s="4"/>
      <c r="D151" s="5"/>
      <c r="H151" s="5"/>
    </row>
    <row r="152" spans="1:8">
      <c r="A152" s="4"/>
      <c r="D152" s="5"/>
      <c r="H152" s="5"/>
    </row>
    <row r="153" spans="1:8">
      <c r="A153" s="4"/>
      <c r="D153" s="5"/>
      <c r="H153" s="5"/>
    </row>
    <row r="154" spans="1:8">
      <c r="A154" s="4"/>
      <c r="D154" s="5"/>
      <c r="H154" s="5"/>
    </row>
    <row r="155" spans="1:8">
      <c r="A155" s="4"/>
      <c r="D155" s="5"/>
      <c r="H155" s="5"/>
    </row>
    <row r="156" spans="1:8">
      <c r="A156" s="4"/>
      <c r="D156" s="5"/>
      <c r="H156" s="5"/>
    </row>
    <row r="157" spans="1:8">
      <c r="A157" s="4"/>
      <c r="D157" s="5"/>
      <c r="H157" s="5"/>
    </row>
    <row r="158" spans="1:8">
      <c r="A158" s="4"/>
      <c r="D158" s="5"/>
      <c r="H158" s="5"/>
    </row>
    <row r="159" spans="1:8">
      <c r="A159" s="4"/>
      <c r="D159" s="5"/>
      <c r="H159" s="5"/>
    </row>
    <row r="160" spans="1:8">
      <c r="A160" s="4"/>
      <c r="D160" s="5"/>
      <c r="H160" s="5"/>
    </row>
    <row r="161" spans="1:8">
      <c r="A161" s="4"/>
      <c r="D161" s="5"/>
      <c r="H161" s="5"/>
    </row>
    <row r="162" spans="1:8">
      <c r="A162" s="4"/>
      <c r="D162" s="5"/>
      <c r="H162" s="5"/>
    </row>
    <row r="163" spans="1:8">
      <c r="A163" s="4"/>
      <c r="D163" s="5"/>
      <c r="H163" s="5"/>
    </row>
    <row r="164" spans="1:8">
      <c r="A164" s="4"/>
      <c r="D164" s="5"/>
      <c r="H164" s="5"/>
    </row>
    <row r="165" spans="1:8">
      <c r="A165" s="4"/>
      <c r="D165" s="5"/>
      <c r="H165" s="5"/>
    </row>
    <row r="166" spans="1:8">
      <c r="A166" s="4"/>
      <c r="D166" s="5"/>
      <c r="H166" s="5"/>
    </row>
    <row r="167" spans="1:8">
      <c r="A167" s="4"/>
      <c r="D167" s="5"/>
      <c r="H167" s="5"/>
    </row>
    <row r="168" spans="1:8">
      <c r="A168" s="4"/>
      <c r="D168" s="5"/>
      <c r="H168" s="5"/>
    </row>
    <row r="169" spans="1:8">
      <c r="A169" s="4"/>
      <c r="D169" s="5"/>
      <c r="H169" s="5"/>
    </row>
    <row r="170" spans="1:8">
      <c r="A170" s="4"/>
      <c r="D170" s="5"/>
      <c r="H170" s="5"/>
    </row>
    <row r="171" spans="1:8">
      <c r="A171" s="4"/>
      <c r="D171" s="5"/>
      <c r="H171" s="5"/>
    </row>
    <row r="172" spans="1:8">
      <c r="A172" s="4"/>
      <c r="D172" s="5"/>
      <c r="H172" s="5"/>
    </row>
    <row r="173" spans="1:8">
      <c r="A173" s="4"/>
      <c r="D173" s="5"/>
      <c r="H173" s="5"/>
    </row>
    <row r="174" spans="1:8">
      <c r="A174" s="4"/>
      <c r="D174" s="5"/>
      <c r="H174" s="5"/>
    </row>
    <row r="175" spans="1:8">
      <c r="A175" s="4"/>
      <c r="D175" s="5"/>
      <c r="H175" s="5"/>
    </row>
    <row r="176" spans="1:8">
      <c r="A176" s="4"/>
      <c r="D176" s="5"/>
      <c r="H176" s="5"/>
    </row>
    <row r="177" spans="1:8">
      <c r="A177" s="4"/>
      <c r="D177" s="5"/>
      <c r="H177" s="5"/>
    </row>
    <row r="178" spans="1:8">
      <c r="A178" s="4"/>
      <c r="D178" s="5"/>
      <c r="H178" s="5"/>
    </row>
    <row r="179" spans="1:8">
      <c r="A179" s="4"/>
      <c r="D179" s="5"/>
      <c r="H179" s="5"/>
    </row>
    <row r="180" spans="1:8">
      <c r="A180" s="4"/>
      <c r="D180" s="5"/>
      <c r="H180" s="5"/>
    </row>
    <row r="181" spans="1:8">
      <c r="A181" s="4"/>
      <c r="D181" s="5"/>
      <c r="H181" s="5"/>
    </row>
    <row r="182" spans="1:8">
      <c r="A182" s="4"/>
      <c r="D182" s="5"/>
      <c r="H182" s="5"/>
    </row>
    <row r="183" spans="1:8">
      <c r="A183" s="4"/>
      <c r="D183" s="5"/>
      <c r="H183" s="5"/>
    </row>
    <row r="184" spans="1:8">
      <c r="A184" s="4"/>
      <c r="D184" s="5"/>
      <c r="H184" s="5"/>
    </row>
    <row r="185" spans="1:8">
      <c r="A185" s="4"/>
      <c r="D185" s="5"/>
      <c r="H185" s="5"/>
    </row>
    <row r="186" spans="1:8">
      <c r="H186" s="8"/>
    </row>
    <row r="187" spans="1:8">
      <c r="H187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1EC3-6F13-5D45-8C0E-50AAF9FE5163}">
  <dimension ref="A1:D2"/>
  <sheetViews>
    <sheetView tabSelected="1" workbookViewId="0">
      <selection activeCell="D3" sqref="D3"/>
    </sheetView>
  </sheetViews>
  <sheetFormatPr baseColWidth="10" defaultRowHeight="16"/>
  <sheetData>
    <row r="1" spans="1:4">
      <c r="A1" t="s">
        <v>9</v>
      </c>
      <c r="D1" s="6">
        <f>AVERAGE(Sheet2!G54:G113)</f>
        <v>2.183333333333333E-2</v>
      </c>
    </row>
    <row r="2" spans="1:4">
      <c r="A2" t="s">
        <v>10</v>
      </c>
      <c r="D2" s="6">
        <f>AVERAGE(Sheet2!G2:G53)</f>
        <v>7.711538461538458E-3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Huibin Chang</dc:creator>
  <cp:lastModifiedBy>Huibin Chang</cp:lastModifiedBy>
  <dcterms:created xsi:type="dcterms:W3CDTF">2025-06-13T20:38:30Z</dcterms:created>
  <dcterms:modified xsi:type="dcterms:W3CDTF">2025-06-14T23:54:33Z</dcterms:modified>
</cp:coreProperties>
</file>