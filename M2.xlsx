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ng/Py_Projects/Slides/"/>
    </mc:Choice>
  </mc:AlternateContent>
  <xr:revisionPtr revIDLastSave="0" documentId="13_ncr:1_{3E799B29-3C5C-EA4C-AB3A-FAB85E7F742F}" xr6:coauthVersionLast="47" xr6:coauthVersionMax="47" xr10:uidLastSave="{00000000-0000-0000-0000-000000000000}"/>
  <bookViews>
    <workbookView xWindow="0" yWindow="760" windowWidth="30240" windowHeight="17580" activeTab="2" xr2:uid="{9017B90C-B04A-E649-BD7B-C9260A24ACB4}"/>
  </bookViews>
  <sheets>
    <sheet name="Sheet3" sheetId="3" r:id="rId1"/>
    <sheet name="Sheet2" sheetId="2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2" i="2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4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32" i="1"/>
  <c r="D33" i="1"/>
  <c r="D34" i="1"/>
  <c r="D35" i="1"/>
  <c r="D36" i="1"/>
  <c r="D37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</calcChain>
</file>

<file path=xl/sharedStrings.xml><?xml version="1.0" encoding="utf-8"?>
<sst xmlns="http://schemas.openxmlformats.org/spreadsheetml/2006/main" count="27" uniqueCount="15">
  <si>
    <t>Date</t>
  </si>
  <si>
    <t>ECORCNN</t>
  </si>
  <si>
    <t>&lt;NSA&gt;</t>
  </si>
  <si>
    <t>China Money Supply M2 (Billion USD) NSA</t>
  </si>
  <si>
    <t>货币和准货币(M2)供应量期末值(亿元)</t>
  </si>
  <si>
    <t>China Money Supply M2 (100 million CNY)</t>
  </si>
  <si>
    <t>YoY Growth Rate</t>
  </si>
  <si>
    <t>MoM Growth Rate</t>
  </si>
  <si>
    <t>M2 YoY Growth Rate</t>
  </si>
  <si>
    <t>M2 MoM Growth Rate</t>
  </si>
  <si>
    <t>China Money Supply M2 (Trillion CNY)</t>
  </si>
  <si>
    <t>居民消费价格指数(上年同月=100)</t>
  </si>
  <si>
    <t>CPI YoY</t>
  </si>
  <si>
    <t>工业生产者出厂价格指数(上年同月=100)</t>
  </si>
  <si>
    <t>PPI YoY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</si>
</sst>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sz val="10"/>
      <name val="Arial"/>
      <family val="2"/>
    </font>
    <font>
      <sz val="10"/>
      <name val="宋体"/>
      <charset val="134"/>
    </font>
    <font>
      <sz val="12"/>
      <name val="Aptos Display"/>
      <scheme val="maj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22" fontId="1" fillId="0" borderId="0"/>
    <xf numFmtId="0" fontId="1" fillId="0" borderId="0"/>
  </cellStyleXfs>
  <cellXfs count="17">
    <xf numFmtId="0" fontId="0" fillId="0" borderId="0" xfId="0"/>
    <xf numFmtId="22" fontId="1" fillId="0" borderId="0" xfId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10" fontId="4" fillId="0" borderId="0" xfId="0" applyNumberFormat="1" applyFont="1"/>
    <xf numFmtId="10" fontId="0" fillId="0" borderId="0" xfId="0" applyNumberForma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2" applyFont="1" applyAlignment="1">
      <alignment horizontal="right" vertical="center"/>
    </xf>
    <xf numFmtId="22" fontId="1" fillId="2" borderId="0" xfId="1" applyFill="1"/>
    <xf numFmtId="0" fontId="0" fillId="2" borderId="0" xfId="0" applyFill="1"/>
    <xf numFmtId="0" fontId="2" fillId="2" borderId="0" xfId="0" applyFont="1" applyFill="1" applyAlignment="1">
      <alignment horizontal="right" vertical="center"/>
    </xf>
    <xf numFmtId="0" fontId="2" fillId="2" borderId="0" xfId="2" applyFont="1" applyFill="1" applyAlignment="1">
      <alignment horizontal="right" vertical="center"/>
    </xf>
  </cellXfs>
  <cellStyles count="3">
    <cellStyle name="blp_datetime" xfId="1" xr:uid="{6924F070-F328-2A4B-9D15-62F190669399}"/>
    <cellStyle name="Normal" xfId="0" builtinId="0"/>
    <cellStyle name="Normal 2" xfId="2" xr:uid="{B39F5943-A408-7940-AD01-C6908E747B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D7C47-D0CB-7A45-B4B3-0E168AC247E6}">
  <dimension ref="A1:F185"/>
  <sheetViews>
    <sheetView workbookViewId="0">
      <selection activeCell="A32" sqref="A32:XFD32"/>
    </sheetView>
  </sheetViews>
  <sheetFormatPr baseColWidth="10" defaultRowHeight="16"/>
  <cols>
    <col min="1" max="1" width="15.6640625" customWidth="1"/>
    <col min="2" max="2" width="34.33203125" customWidth="1"/>
    <col min="3" max="3" width="23.1640625" customWidth="1"/>
    <col min="4" max="4" width="42" customWidth="1"/>
    <col min="5" max="5" width="22.5" customWidth="1"/>
    <col min="6" max="6" width="18.33203125" customWidth="1"/>
  </cols>
  <sheetData>
    <row r="1" spans="1:6" s="7" customFormat="1">
      <c r="A1" s="7" t="s">
        <v>0</v>
      </c>
      <c r="B1" s="7" t="s">
        <v>8</v>
      </c>
      <c r="C1" s="7" t="s">
        <v>9</v>
      </c>
      <c r="D1" s="8" t="s">
        <v>10</v>
      </c>
      <c r="E1" s="7" t="s">
        <v>12</v>
      </c>
      <c r="F1" s="7" t="s">
        <v>14</v>
      </c>
    </row>
    <row r="2" spans="1:6">
      <c r="A2" s="1">
        <v>45777</v>
      </c>
      <c r="B2">
        <v>7.961552433357294E-2</v>
      </c>
      <c r="C2">
        <v>-2.7036044975625112E-3</v>
      </c>
      <c r="D2">
        <v>325.17393199999998</v>
      </c>
      <c r="E2">
        <v>-9.9999999999994321E-4</v>
      </c>
      <c r="F2">
        <v>-2.7000000000000027E-2</v>
      </c>
    </row>
    <row r="3" spans="1:6">
      <c r="A3" s="1">
        <v>45747</v>
      </c>
      <c r="B3">
        <v>6.9752541654065747E-2</v>
      </c>
      <c r="C3">
        <v>1.7278732178607484E-2</v>
      </c>
      <c r="D3">
        <v>326.05545699999999</v>
      </c>
      <c r="E3">
        <v>-9.9999999999994321E-4</v>
      </c>
      <c r="F3">
        <v>-2.5000000000000001E-2</v>
      </c>
    </row>
    <row r="4" spans="1:6">
      <c r="A4" s="1">
        <v>45716</v>
      </c>
      <c r="B4">
        <v>6.9970009777461706E-2</v>
      </c>
      <c r="C4">
        <v>6.2557342881000696E-3</v>
      </c>
      <c r="D4">
        <v>320.51732400000003</v>
      </c>
      <c r="E4">
        <v>-9.9999999999994321E-4</v>
      </c>
      <c r="F4">
        <v>-2.200000000000003E-2</v>
      </c>
    </row>
    <row r="5" spans="1:6">
      <c r="A5" s="1">
        <v>45688</v>
      </c>
      <c r="B5">
        <v>7.0221576129587487E-2</v>
      </c>
      <c r="C5">
        <v>1.5923364561276639E-2</v>
      </c>
      <c r="D5">
        <v>318.52471800000001</v>
      </c>
      <c r="E5">
        <v>-7.0000000000000288E-3</v>
      </c>
      <c r="F5">
        <v>-2.2999999999999972E-2</v>
      </c>
    </row>
    <row r="6" spans="1:6">
      <c r="A6" s="1">
        <v>45657</v>
      </c>
      <c r="B6">
        <v>7.2743696009351599E-2</v>
      </c>
      <c r="C6">
        <v>5.0439460858550675E-3</v>
      </c>
      <c r="D6">
        <v>313.53222999999997</v>
      </c>
      <c r="E6">
        <v>5.0000000000000001E-3</v>
      </c>
      <c r="F6">
        <v>-2.2999999999999972E-2</v>
      </c>
    </row>
    <row r="7" spans="1:6">
      <c r="A7" s="1">
        <v>45626</v>
      </c>
      <c r="B7">
        <v>7.12816058982019E-2</v>
      </c>
      <c r="C7">
        <v>7.263348950359484E-3</v>
      </c>
      <c r="D7">
        <v>311.95872700000001</v>
      </c>
      <c r="E7">
        <v>9.9999999999994321E-4</v>
      </c>
      <c r="F7">
        <v>-2.5000000000000001E-2</v>
      </c>
    </row>
    <row r="8" spans="1:6">
      <c r="A8" s="1">
        <v>45596</v>
      </c>
      <c r="B8">
        <v>7.4529966867469419E-2</v>
      </c>
      <c r="C8">
        <v>7.411694792742136E-4</v>
      </c>
      <c r="D8">
        <v>309.70920099999995</v>
      </c>
      <c r="E8">
        <v>2.0000000000000282E-3</v>
      </c>
      <c r="F8">
        <v>-2.9000000000000057E-2</v>
      </c>
    </row>
    <row r="9" spans="1:6">
      <c r="A9" s="1">
        <v>45565</v>
      </c>
      <c r="B9">
        <v>6.8402639895034242E-2</v>
      </c>
      <c r="C9">
        <v>1.4534513332798421E-2</v>
      </c>
      <c r="D9">
        <v>309.47982400000001</v>
      </c>
      <c r="E9">
        <v>2.9999999999999714E-3</v>
      </c>
      <c r="F9">
        <v>-2.7999999999999973E-2</v>
      </c>
    </row>
    <row r="10" spans="1:6">
      <c r="A10" s="1">
        <v>45535</v>
      </c>
      <c r="B10">
        <v>6.3121768369817741E-2</v>
      </c>
      <c r="C10">
        <v>5.7369407546129774E-3</v>
      </c>
      <c r="D10">
        <v>305.04612700000001</v>
      </c>
      <c r="E10">
        <v>4.0000000000000565E-3</v>
      </c>
      <c r="F10">
        <v>-1.7999999999999971E-2</v>
      </c>
    </row>
    <row r="11" spans="1:6">
      <c r="A11" s="1">
        <v>45504</v>
      </c>
      <c r="B11">
        <v>6.2728535489635487E-2</v>
      </c>
      <c r="C11">
        <v>-5.6065096145695428E-3</v>
      </c>
      <c r="D11">
        <v>303.30607799999996</v>
      </c>
      <c r="E11">
        <v>5.9999999999999429E-3</v>
      </c>
      <c r="F11">
        <v>-7.9999999999999724E-3</v>
      </c>
    </row>
    <row r="12" spans="1:6">
      <c r="A12" s="1">
        <v>45473</v>
      </c>
      <c r="B12">
        <v>6.1655496258100982E-2</v>
      </c>
      <c r="C12">
        <v>1.0486910526119667E-2</v>
      </c>
      <c r="D12">
        <v>305.01615400000003</v>
      </c>
      <c r="E12">
        <v>5.0000000000000001E-3</v>
      </c>
      <c r="F12">
        <v>-7.9999999999999724E-3</v>
      </c>
    </row>
    <row r="13" spans="1:6">
      <c r="A13" s="1">
        <v>45443</v>
      </c>
      <c r="B13">
        <v>7.0200929430827896E-2</v>
      </c>
      <c r="C13">
        <v>2.1795738575282916E-3</v>
      </c>
      <c r="D13">
        <v>301.85067299999997</v>
      </c>
      <c r="E13">
        <v>2.0000000000000282E-3</v>
      </c>
      <c r="F13">
        <v>-1.4000000000000058E-2</v>
      </c>
    </row>
    <row r="14" spans="1:6">
      <c r="A14" s="1">
        <v>45412</v>
      </c>
      <c r="B14">
        <v>7.2449656865401335E-2</v>
      </c>
      <c r="C14">
        <v>-1.1814548952763146E-2</v>
      </c>
      <c r="D14">
        <v>301.19419799999997</v>
      </c>
      <c r="E14">
        <v>2.9999999999999714E-3</v>
      </c>
      <c r="F14">
        <v>-2.5000000000000001E-2</v>
      </c>
    </row>
    <row r="15" spans="1:6">
      <c r="A15" s="1">
        <v>45382</v>
      </c>
      <c r="B15">
        <v>8.2920714701512965E-2</v>
      </c>
      <c r="C15">
        <v>1.7485532993042043E-2</v>
      </c>
      <c r="D15">
        <v>304.79521600000004</v>
      </c>
      <c r="E15">
        <v>2.9999999999999714E-3</v>
      </c>
      <c r="F15">
        <v>-2.7999999999999973E-2</v>
      </c>
    </row>
    <row r="16" spans="1:6">
      <c r="A16" s="1">
        <v>45351</v>
      </c>
      <c r="B16">
        <v>8.7223956868685962E-2</v>
      </c>
      <c r="C16">
        <v>6.492320437307326E-3</v>
      </c>
      <c r="D16">
        <v>299.55729700000001</v>
      </c>
      <c r="E16">
        <v>9.9999999999994321E-4</v>
      </c>
      <c r="F16">
        <v>-2.7000000000000027E-2</v>
      </c>
    </row>
    <row r="17" spans="1:6">
      <c r="A17" s="1">
        <v>45322</v>
      </c>
      <c r="B17">
        <v>8.6987535309790254E-2</v>
      </c>
      <c r="C17">
        <v>1.831752346371928E-2</v>
      </c>
      <c r="D17">
        <v>297.62502000000001</v>
      </c>
      <c r="E17">
        <v>7.0000000000000288E-3</v>
      </c>
      <c r="F17">
        <v>-2.5000000000000001E-2</v>
      </c>
    </row>
    <row r="18" spans="1:6">
      <c r="A18" s="1">
        <v>45291</v>
      </c>
      <c r="B18">
        <v>9.6982497798576026E-2</v>
      </c>
      <c r="C18">
        <v>3.6741269759320988E-3</v>
      </c>
      <c r="D18">
        <v>292.27133300000003</v>
      </c>
      <c r="E18">
        <v>-7.9999999999999724E-3</v>
      </c>
      <c r="F18">
        <v>-2.7000000000000027E-2</v>
      </c>
    </row>
    <row r="19" spans="1:6">
      <c r="A19" s="1">
        <v>45260</v>
      </c>
      <c r="B19">
        <v>0.10011518361286105</v>
      </c>
      <c r="C19">
        <v>1.0317592512919962E-2</v>
      </c>
      <c r="D19">
        <v>291.20142200000004</v>
      </c>
      <c r="E19">
        <v>-2.9999999999999714E-3</v>
      </c>
      <c r="F19">
        <v>-0.03</v>
      </c>
    </row>
    <row r="20" spans="1:6">
      <c r="A20" s="1">
        <v>45230</v>
      </c>
      <c r="B20">
        <v>0.10308852156616817</v>
      </c>
      <c r="C20">
        <v>-4.9653892480292713E-3</v>
      </c>
      <c r="D20">
        <v>288.22760699999998</v>
      </c>
      <c r="E20">
        <v>-5.0000000000000001E-3</v>
      </c>
      <c r="F20">
        <v>-2.5999999999999943E-2</v>
      </c>
    </row>
    <row r="21" spans="1:6">
      <c r="A21" s="1">
        <v>45199</v>
      </c>
      <c r="B21">
        <v>0.10281660527249033</v>
      </c>
      <c r="C21">
        <v>9.5198997192127051E-3</v>
      </c>
      <c r="D21">
        <v>289.66591099999999</v>
      </c>
      <c r="E21">
        <v>-2.0000000000000282E-3</v>
      </c>
      <c r="F21">
        <v>-2.5000000000000001E-2</v>
      </c>
    </row>
    <row r="22" spans="1:6">
      <c r="A22" s="1">
        <v>45169</v>
      </c>
      <c r="B22">
        <v>0.10569085336625844</v>
      </c>
      <c r="C22">
        <v>5.3649336659752789E-3</v>
      </c>
      <c r="D22">
        <v>286.934325</v>
      </c>
      <c r="E22">
        <v>0</v>
      </c>
      <c r="F22">
        <v>-0.03</v>
      </c>
    </row>
    <row r="23" spans="1:6">
      <c r="A23" s="1">
        <v>45138</v>
      </c>
      <c r="B23">
        <v>0.10703823894707765</v>
      </c>
      <c r="C23">
        <v>-6.6105508077181586E-3</v>
      </c>
      <c r="D23">
        <v>285.40315600000002</v>
      </c>
      <c r="E23">
        <v>9.9999999999994321E-4</v>
      </c>
      <c r="F23">
        <v>-4.400000000000006E-2</v>
      </c>
    </row>
    <row r="24" spans="1:6">
      <c r="A24" s="1">
        <v>45107</v>
      </c>
      <c r="B24">
        <v>0.11294911559823399</v>
      </c>
      <c r="C24">
        <v>1.8620479651180692E-2</v>
      </c>
      <c r="D24">
        <v>287.30238300000002</v>
      </c>
      <c r="E24">
        <v>-2.9999999999999714E-3</v>
      </c>
      <c r="F24">
        <v>-5.4000000000000055E-2</v>
      </c>
    </row>
    <row r="25" spans="1:6">
      <c r="A25" s="1">
        <v>45077</v>
      </c>
      <c r="B25">
        <v>0.1161359291830044</v>
      </c>
      <c r="C25">
        <v>4.2853734696638411E-3</v>
      </c>
      <c r="D25">
        <v>282.05046800000002</v>
      </c>
      <c r="E25">
        <v>0</v>
      </c>
      <c r="F25">
        <v>-4.5999999999999944E-2</v>
      </c>
    </row>
    <row r="26" spans="1:6">
      <c r="A26" s="1">
        <v>45046</v>
      </c>
      <c r="B26">
        <v>0.12351765958215406</v>
      </c>
      <c r="C26">
        <v>-2.1662200596724275E-3</v>
      </c>
      <c r="D26">
        <v>280.84693399999998</v>
      </c>
      <c r="E26">
        <v>2.0000000000000282E-3</v>
      </c>
      <c r="F26">
        <v>-3.5999999999999942E-2</v>
      </c>
    </row>
    <row r="27" spans="1:6">
      <c r="A27" s="1">
        <v>45016</v>
      </c>
      <c r="B27">
        <v>0.12686849873351302</v>
      </c>
      <c r="C27">
        <v>2.1528752954229145E-2</v>
      </c>
      <c r="D27">
        <v>281.45663100000002</v>
      </c>
      <c r="E27">
        <v>9.9999999999994321E-4</v>
      </c>
      <c r="F27">
        <v>-2.5000000000000001E-2</v>
      </c>
    </row>
    <row r="28" spans="1:6">
      <c r="A28" s="1">
        <v>44985</v>
      </c>
      <c r="B28">
        <v>0.1285118805987609</v>
      </c>
      <c r="C28">
        <v>6.2734543224548757E-3</v>
      </c>
      <c r="D28">
        <v>275.524923</v>
      </c>
      <c r="E28">
        <v>7.0000000000000288E-3</v>
      </c>
      <c r="F28">
        <v>-1.4000000000000058E-2</v>
      </c>
    </row>
    <row r="29" spans="1:6">
      <c r="A29" s="1">
        <v>44957</v>
      </c>
      <c r="B29">
        <v>0.12630459496487134</v>
      </c>
      <c r="C29">
        <v>2.7681058111604987E-2</v>
      </c>
      <c r="D29">
        <v>273.80720600000001</v>
      </c>
      <c r="E29">
        <v>0.01</v>
      </c>
      <c r="F29">
        <v>-7.9999999999999724E-3</v>
      </c>
    </row>
    <row r="30" spans="1:6">
      <c r="A30" s="1">
        <v>44926</v>
      </c>
      <c r="B30">
        <v>0.11810035333591642</v>
      </c>
      <c r="C30">
        <v>6.5403492776116342E-3</v>
      </c>
      <c r="D30">
        <v>266.43208399999997</v>
      </c>
      <c r="E30">
        <v>2.0999999999999942E-2</v>
      </c>
      <c r="F30">
        <v>-7.0000000000000288E-3</v>
      </c>
    </row>
    <row r="31" spans="1:6">
      <c r="A31" s="1">
        <v>44895</v>
      </c>
      <c r="B31">
        <v>0.1235119456653538</v>
      </c>
      <c r="C31">
        <v>1.3048229892950595E-2</v>
      </c>
      <c r="D31">
        <v>264.70084800000001</v>
      </c>
      <c r="E31">
        <v>1.7999999999999971E-2</v>
      </c>
      <c r="F31">
        <v>-1.2999999999999972E-2</v>
      </c>
    </row>
    <row r="32" spans="1:6">
      <c r="A32" s="1">
        <v>44865</v>
      </c>
      <c r="B32">
        <v>0.11846535902362318</v>
      </c>
      <c r="C32">
        <v>-5.2106697655462993E-3</v>
      </c>
      <c r="D32">
        <v>261.29145699999998</v>
      </c>
      <c r="E32">
        <v>1.5999999999999945E-2</v>
      </c>
      <c r="F32">
        <v>-1.2999999999999972E-2</v>
      </c>
    </row>
    <row r="33" spans="1:6">
      <c r="A33" s="1">
        <v>44834</v>
      </c>
      <c r="B33">
        <v>0.12112328096233359</v>
      </c>
      <c r="C33">
        <v>1.2150990540221859E-2</v>
      </c>
      <c r="D33">
        <v>262.66009200000002</v>
      </c>
      <c r="E33">
        <v>2.0999999999999942E-2</v>
      </c>
      <c r="F33">
        <v>9.0000000000000566E-3</v>
      </c>
    </row>
    <row r="34" spans="1:6">
      <c r="A34" s="1">
        <v>44804</v>
      </c>
      <c r="B34">
        <v>0.12230443406102524</v>
      </c>
      <c r="C34">
        <v>6.5900629242654106E-3</v>
      </c>
      <c r="D34">
        <v>259.50682699999999</v>
      </c>
      <c r="E34">
        <v>2.7999999999999973E-2</v>
      </c>
      <c r="F34">
        <v>2.2999999999999972E-2</v>
      </c>
    </row>
    <row r="35" spans="1:6">
      <c r="A35" s="1">
        <v>44773</v>
      </c>
      <c r="B35">
        <v>0.11985504513334388</v>
      </c>
      <c r="C35">
        <v>-1.3064860571450484E-3</v>
      </c>
      <c r="D35">
        <v>257.80785699999996</v>
      </c>
      <c r="E35">
        <v>2.5000000000000001E-2</v>
      </c>
      <c r="F35">
        <v>4.200000000000003E-2</v>
      </c>
    </row>
    <row r="36" spans="1:6">
      <c r="A36" s="1">
        <v>44742</v>
      </c>
      <c r="B36">
        <v>0.11375621888100272</v>
      </c>
      <c r="C36">
        <v>2.1537193036170316E-2</v>
      </c>
      <c r="D36">
        <v>258.14512000000002</v>
      </c>
      <c r="E36">
        <v>2.7000000000000027E-2</v>
      </c>
      <c r="F36">
        <v>6.0999999999999943E-2</v>
      </c>
    </row>
    <row r="37" spans="1:6">
      <c r="A37" s="1">
        <v>44712</v>
      </c>
      <c r="B37">
        <v>0.11051807188618035</v>
      </c>
      <c r="C37">
        <v>1.0927363640331368E-2</v>
      </c>
      <c r="D37">
        <v>252.70261499999998</v>
      </c>
      <c r="E37">
        <v>2.5000000000000001E-2</v>
      </c>
      <c r="F37">
        <v>6.4000000000000057E-2</v>
      </c>
    </row>
    <row r="38" spans="1:6">
      <c r="A38" s="1">
        <v>44681</v>
      </c>
      <c r="B38">
        <v>0.10503648474436515</v>
      </c>
      <c r="C38">
        <v>8.0977276772651945E-4</v>
      </c>
      <c r="D38">
        <v>249.97109</v>
      </c>
      <c r="E38">
        <v>2.0999999999999942E-2</v>
      </c>
      <c r="F38">
        <v>0.08</v>
      </c>
    </row>
    <row r="39" spans="1:6">
      <c r="A39" s="1">
        <v>44651</v>
      </c>
      <c r="B39">
        <v>9.7167147937868806E-2</v>
      </c>
      <c r="C39">
        <v>2.3018511368206485E-2</v>
      </c>
      <c r="D39">
        <v>249.768834</v>
      </c>
      <c r="E39">
        <v>2.0999999999999942E-2</v>
      </c>
      <c r="F39">
        <v>8.2999999999999977E-2</v>
      </c>
    </row>
    <row r="40" spans="1:6">
      <c r="A40" s="1">
        <v>44620</v>
      </c>
      <c r="B40">
        <v>9.1885447024317168E-2</v>
      </c>
      <c r="C40">
        <v>4.305257994462389E-3</v>
      </c>
      <c r="D40">
        <v>244.14888999999999</v>
      </c>
      <c r="E40">
        <v>1.4999999999999999E-2</v>
      </c>
      <c r="F40">
        <v>8.7999999999999967E-2</v>
      </c>
    </row>
    <row r="41" spans="1:6">
      <c r="A41" s="1">
        <v>44592</v>
      </c>
      <c r="B41">
        <v>9.8495584366919131E-2</v>
      </c>
      <c r="C41">
        <v>2.0195211249273197E-2</v>
      </c>
      <c r="D41">
        <v>243.10227200000003</v>
      </c>
      <c r="E41">
        <v>9.0000000000000566E-3</v>
      </c>
      <c r="F41">
        <v>9.0999999999999942E-2</v>
      </c>
    </row>
    <row r="42" spans="1:6">
      <c r="A42" s="1">
        <v>44561</v>
      </c>
      <c r="B42">
        <v>8.9676256891080913E-2</v>
      </c>
      <c r="C42">
        <v>1.141199252248544E-2</v>
      </c>
      <c r="D42">
        <v>238.28995600000002</v>
      </c>
      <c r="E42">
        <v>9.0000000000000566E-3</v>
      </c>
      <c r="F42">
        <v>0.10299999999999997</v>
      </c>
    </row>
    <row r="43" spans="1:6">
      <c r="A43" s="1">
        <v>44530</v>
      </c>
      <c r="B43">
        <v>8.4719150076504268E-2</v>
      </c>
      <c r="C43">
        <v>8.4978237453960329E-3</v>
      </c>
      <c r="D43">
        <v>235.60127599999998</v>
      </c>
      <c r="E43">
        <v>1.4999999999999999E-2</v>
      </c>
      <c r="F43">
        <v>0.12900000000000006</v>
      </c>
    </row>
    <row r="44" spans="1:6">
      <c r="A44" s="1">
        <v>44500</v>
      </c>
      <c r="B44">
        <v>8.6727584789839815E-2</v>
      </c>
      <c r="C44">
        <v>-2.8466516366939536E-3</v>
      </c>
      <c r="D44">
        <v>233.61604800000001</v>
      </c>
      <c r="E44">
        <v>2.2999999999999972E-2</v>
      </c>
      <c r="F44">
        <v>0.13500000000000001</v>
      </c>
    </row>
    <row r="45" spans="1:6">
      <c r="A45" s="1">
        <v>44469</v>
      </c>
      <c r="B45">
        <v>8.2596070172481412E-2</v>
      </c>
      <c r="C45">
        <v>1.3217336497995776E-2</v>
      </c>
      <c r="D45">
        <v>234.28297000000001</v>
      </c>
      <c r="E45">
        <v>1.4999999999999999E-2</v>
      </c>
      <c r="F45">
        <v>0.10700000000000003</v>
      </c>
    </row>
    <row r="46" spans="1:6">
      <c r="A46" s="1">
        <v>44439</v>
      </c>
      <c r="B46">
        <v>8.2098343200183679E-2</v>
      </c>
      <c r="C46">
        <v>4.3932164359027654E-3</v>
      </c>
      <c r="D46">
        <v>231.22676800000002</v>
      </c>
      <c r="E46">
        <v>7.0000000000000288E-3</v>
      </c>
      <c r="F46">
        <v>9.5000000000000001E-2</v>
      </c>
    </row>
    <row r="47" spans="1:6">
      <c r="A47" s="1">
        <v>44408</v>
      </c>
      <c r="B47">
        <v>8.3132822083005972E-2</v>
      </c>
      <c r="C47">
        <v>-6.745456259000299E-3</v>
      </c>
      <c r="D47">
        <v>230.21538199999998</v>
      </c>
      <c r="E47">
        <v>7.9999999999999724E-3</v>
      </c>
      <c r="F47">
        <v>0.09</v>
      </c>
    </row>
    <row r="48" spans="1:6">
      <c r="A48" s="1">
        <v>44377</v>
      </c>
      <c r="B48">
        <v>8.5641263148688418E-2</v>
      </c>
      <c r="C48">
        <v>1.8567164644272483E-2</v>
      </c>
      <c r="D48">
        <v>231.77883599999998</v>
      </c>
      <c r="E48">
        <v>0.01</v>
      </c>
      <c r="F48">
        <v>8.7999999999999967E-2</v>
      </c>
    </row>
    <row r="49" spans="1:6">
      <c r="A49" s="1">
        <v>44347</v>
      </c>
      <c r="B49">
        <v>8.3494756511161061E-2</v>
      </c>
      <c r="C49">
        <v>5.9373625065110621E-3</v>
      </c>
      <c r="D49">
        <v>227.55380699999998</v>
      </c>
      <c r="E49">
        <v>1.0999999999999944E-2</v>
      </c>
      <c r="F49">
        <v>0.09</v>
      </c>
    </row>
    <row r="50" spans="1:6">
      <c r="A50" s="1">
        <v>44316</v>
      </c>
      <c r="B50">
        <v>8.0520929532817739E-2</v>
      </c>
      <c r="C50">
        <v>-6.317330535984083E-3</v>
      </c>
      <c r="D50">
        <v>226.210712</v>
      </c>
      <c r="E50">
        <v>1.2999999999999972E-2</v>
      </c>
      <c r="F50">
        <v>6.7999999999999977E-2</v>
      </c>
    </row>
    <row r="51" spans="1:6">
      <c r="A51" s="1">
        <v>44286</v>
      </c>
      <c r="B51">
        <v>9.3979931726559926E-2</v>
      </c>
      <c r="C51">
        <v>1.8093757818823265E-2</v>
      </c>
      <c r="D51">
        <v>227.64884500000002</v>
      </c>
      <c r="E51">
        <v>9.0000000000000566E-3</v>
      </c>
      <c r="F51">
        <v>4.400000000000006E-2</v>
      </c>
    </row>
    <row r="52" spans="1:6">
      <c r="A52" s="1">
        <v>44255</v>
      </c>
      <c r="B52">
        <v>0.10104233124496917</v>
      </c>
      <c r="C52">
        <v>1.0385195873781741E-2</v>
      </c>
      <c r="D52">
        <v>223.60302599999997</v>
      </c>
      <c r="E52">
        <v>4.0000000000000565E-3</v>
      </c>
      <c r="F52">
        <v>1.7000000000000029E-2</v>
      </c>
    </row>
    <row r="53" spans="1:6">
      <c r="A53" s="1">
        <v>44227</v>
      </c>
      <c r="B53">
        <v>9.3907363370938982E-2</v>
      </c>
      <c r="C53">
        <v>1.2004522287628747E-2</v>
      </c>
      <c r="D53">
        <v>221.304733</v>
      </c>
      <c r="E53">
        <v>-2.0000000000000282E-3</v>
      </c>
      <c r="F53">
        <v>2.9999999999999714E-3</v>
      </c>
    </row>
    <row r="54" spans="1:6">
      <c r="A54" s="1">
        <v>44196</v>
      </c>
      <c r="B54">
        <v>0.10083473311468225</v>
      </c>
      <c r="C54">
        <v>6.810922022168122E-3</v>
      </c>
      <c r="D54">
        <v>218.67958900000002</v>
      </c>
      <c r="E54">
        <v>-2.9999999999999714E-3</v>
      </c>
      <c r="F54">
        <v>-4.0000000000000565E-3</v>
      </c>
    </row>
    <row r="55" spans="1:6">
      <c r="A55" s="1">
        <v>44165</v>
      </c>
      <c r="B55">
        <v>0.10735689636491445</v>
      </c>
      <c r="C55">
        <v>1.0365129247830231E-2</v>
      </c>
      <c r="D55">
        <v>217.20025499999997</v>
      </c>
      <c r="E55">
        <v>2.0000000000000282E-3</v>
      </c>
      <c r="F55">
        <v>-1.4999999999999999E-2</v>
      </c>
    </row>
    <row r="56" spans="1:6">
      <c r="A56" s="1">
        <v>44135</v>
      </c>
      <c r="B56">
        <v>0.1049135548404321</v>
      </c>
      <c r="C56">
        <v>-6.6376234424824244E-3</v>
      </c>
      <c r="D56">
        <v>214.97204199999999</v>
      </c>
      <c r="E56">
        <v>-5.0000000000000001E-3</v>
      </c>
      <c r="F56">
        <v>-2.0999999999999942E-2</v>
      </c>
    </row>
    <row r="57" spans="1:6">
      <c r="A57" s="1">
        <v>44104</v>
      </c>
      <c r="B57">
        <v>0.10850775097000991</v>
      </c>
      <c r="C57">
        <v>1.2751506618256451E-2</v>
      </c>
      <c r="D57">
        <v>216.40847999999997</v>
      </c>
      <c r="E57">
        <v>5.0000000000000001E-3</v>
      </c>
      <c r="F57">
        <v>-2.0999999999999942E-2</v>
      </c>
    </row>
    <row r="58" spans="1:6">
      <c r="A58" s="1">
        <v>44074</v>
      </c>
      <c r="B58">
        <v>0.10402752130629631</v>
      </c>
      <c r="C58">
        <v>5.353409729776693E-3</v>
      </c>
      <c r="D58">
        <v>213.68369100000001</v>
      </c>
      <c r="E58">
        <v>1.7000000000000029E-2</v>
      </c>
      <c r="F58">
        <v>-0.02</v>
      </c>
    </row>
    <row r="59" spans="1:6">
      <c r="A59" s="1">
        <v>44043</v>
      </c>
      <c r="B59">
        <v>0.10734942090198277</v>
      </c>
      <c r="C59">
        <v>-4.4451654401844896E-3</v>
      </c>
      <c r="D59">
        <v>212.54584599999998</v>
      </c>
      <c r="E59">
        <v>2.4000000000000056E-2</v>
      </c>
      <c r="F59">
        <v>-2.4000000000000056E-2</v>
      </c>
    </row>
    <row r="60" spans="1:6">
      <c r="A60" s="1">
        <v>44012</v>
      </c>
      <c r="B60">
        <v>0.11116524174470389</v>
      </c>
      <c r="C60">
        <v>1.6553275476744678E-2</v>
      </c>
      <c r="D60">
        <v>213.494866</v>
      </c>
      <c r="E60">
        <v>2.7000000000000027E-2</v>
      </c>
      <c r="F60">
        <v>-0.03</v>
      </c>
    </row>
    <row r="61" spans="1:6">
      <c r="A61" s="1">
        <v>43982</v>
      </c>
      <c r="B61">
        <v>0.11053043441154481</v>
      </c>
      <c r="C61">
        <v>3.1764043669646118E-3</v>
      </c>
      <c r="D61">
        <v>210.01837400000002</v>
      </c>
      <c r="E61">
        <v>2.5000000000000001E-2</v>
      </c>
      <c r="F61">
        <v>-3.7000000000000026E-2</v>
      </c>
    </row>
    <row r="62" spans="1:6">
      <c r="A62" s="1">
        <v>43951</v>
      </c>
      <c r="B62">
        <v>0.11082229962202461</v>
      </c>
      <c r="C62">
        <v>6.0600115984086886E-3</v>
      </c>
      <c r="D62">
        <v>209.35338300000001</v>
      </c>
      <c r="E62">
        <v>2.4000000000000056E-2</v>
      </c>
      <c r="F62">
        <v>-3.0999999999999944E-2</v>
      </c>
    </row>
    <row r="63" spans="1:6">
      <c r="A63" s="1">
        <v>43921</v>
      </c>
      <c r="B63">
        <v>0.10136024107477155</v>
      </c>
      <c r="C63">
        <v>2.4666259430957307E-2</v>
      </c>
      <c r="D63">
        <v>208.092341</v>
      </c>
      <c r="E63">
        <v>3.2999999999999974E-2</v>
      </c>
      <c r="F63">
        <v>-1.4999999999999999E-2</v>
      </c>
    </row>
    <row r="64" spans="1:6">
      <c r="A64" s="1">
        <v>43890</v>
      </c>
      <c r="B64">
        <v>8.750164296878038E-2</v>
      </c>
      <c r="C64">
        <v>3.8377038215881547E-3</v>
      </c>
      <c r="D64">
        <v>203.08304200000001</v>
      </c>
      <c r="E64">
        <v>4.2999999999999969E-2</v>
      </c>
      <c r="F64">
        <v>-4.0000000000000565E-3</v>
      </c>
    </row>
    <row r="65" spans="1:6">
      <c r="A65" s="1">
        <v>43861</v>
      </c>
      <c r="B65">
        <v>8.4210399724839291E-2</v>
      </c>
      <c r="C65">
        <v>1.8413227213632102E-2</v>
      </c>
      <c r="D65">
        <v>202.30664899999999</v>
      </c>
      <c r="E65">
        <v>5.2000000000000025E-2</v>
      </c>
      <c r="F65">
        <v>9.9999999999994321E-4</v>
      </c>
    </row>
    <row r="66" spans="1:6">
      <c r="A66" s="1"/>
    </row>
    <row r="67" spans="1:6">
      <c r="A67" s="1"/>
    </row>
    <row r="68" spans="1:6">
      <c r="A68" s="1"/>
    </row>
    <row r="69" spans="1:6">
      <c r="A69" s="1"/>
    </row>
    <row r="70" spans="1:6">
      <c r="A70" s="1"/>
    </row>
    <row r="71" spans="1:6">
      <c r="A71" s="1"/>
    </row>
    <row r="72" spans="1:6">
      <c r="A72" s="1"/>
    </row>
    <row r="73" spans="1:6">
      <c r="A73" s="1"/>
    </row>
    <row r="74" spans="1:6">
      <c r="A74" s="1"/>
    </row>
    <row r="75" spans="1:6">
      <c r="A75" s="1"/>
    </row>
    <row r="76" spans="1:6">
      <c r="A76" s="1"/>
    </row>
    <row r="77" spans="1:6">
      <c r="A77" s="1"/>
    </row>
    <row r="78" spans="1:6">
      <c r="A78" s="1"/>
    </row>
    <row r="79" spans="1:6">
      <c r="A79" s="1"/>
    </row>
    <row r="80" spans="1:6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  <row r="119" spans="1:1">
      <c r="A119" s="1"/>
    </row>
    <row r="120" spans="1:1">
      <c r="A120" s="1"/>
    </row>
    <row r="121" spans="1:1">
      <c r="A121" s="1"/>
    </row>
    <row r="122" spans="1:1">
      <c r="A122" s="1"/>
    </row>
    <row r="123" spans="1:1">
      <c r="A123" s="1"/>
    </row>
    <row r="124" spans="1:1">
      <c r="A124" s="1"/>
    </row>
    <row r="125" spans="1:1">
      <c r="A125" s="1"/>
    </row>
    <row r="126" spans="1:1">
      <c r="A126" s="1"/>
    </row>
    <row r="127" spans="1:1">
      <c r="A127" s="1"/>
    </row>
    <row r="128" spans="1: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  <row r="144" spans="1:1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  <row r="150" spans="1:1">
      <c r="A150" s="1"/>
    </row>
    <row r="151" spans="1:1">
      <c r="A151" s="1"/>
    </row>
    <row r="152" spans="1:1">
      <c r="A152" s="1"/>
    </row>
    <row r="153" spans="1:1">
      <c r="A153" s="1"/>
    </row>
    <row r="154" spans="1:1">
      <c r="A154" s="1"/>
    </row>
    <row r="155" spans="1:1">
      <c r="A155" s="1"/>
    </row>
    <row r="156" spans="1:1">
      <c r="A156" s="1"/>
    </row>
    <row r="157" spans="1:1">
      <c r="A157" s="1"/>
    </row>
    <row r="158" spans="1:1">
      <c r="A158" s="1"/>
    </row>
    <row r="159" spans="1:1">
      <c r="A159" s="1"/>
    </row>
    <row r="160" spans="1:1">
      <c r="A160" s="1"/>
    </row>
    <row r="161" spans="1:1">
      <c r="A161" s="1"/>
    </row>
    <row r="162" spans="1:1">
      <c r="A162" s="1"/>
    </row>
    <row r="163" spans="1:1">
      <c r="A163" s="1"/>
    </row>
    <row r="164" spans="1:1">
      <c r="A164" s="1"/>
    </row>
    <row r="165" spans="1:1">
      <c r="A165" s="1"/>
    </row>
    <row r="166" spans="1:1">
      <c r="A166" s="1"/>
    </row>
    <row r="167" spans="1:1">
      <c r="A167" s="1"/>
    </row>
    <row r="168" spans="1:1">
      <c r="A168" s="1"/>
    </row>
    <row r="169" spans="1:1">
      <c r="A169" s="1"/>
    </row>
    <row r="170" spans="1:1">
      <c r="A170" s="1"/>
    </row>
    <row r="171" spans="1:1">
      <c r="A171" s="1"/>
    </row>
    <row r="172" spans="1:1">
      <c r="A172" s="1"/>
    </row>
    <row r="173" spans="1:1">
      <c r="A173" s="1"/>
    </row>
    <row r="174" spans="1:1">
      <c r="A174" s="1"/>
    </row>
    <row r="175" spans="1:1">
      <c r="A175" s="1"/>
    </row>
    <row r="176" spans="1:1">
      <c r="A176" s="1"/>
    </row>
    <row r="177" spans="1:1">
      <c r="A177" s="1"/>
    </row>
    <row r="178" spans="1:1">
      <c r="A178" s="1"/>
    </row>
    <row r="179" spans="1:1">
      <c r="A179" s="1"/>
    </row>
    <row r="180" spans="1:1">
      <c r="A180" s="1"/>
    </row>
    <row r="181" spans="1:1">
      <c r="A181" s="1"/>
    </row>
    <row r="182" spans="1:1">
      <c r="A182" s="1"/>
    </row>
    <row r="183" spans="1:1">
      <c r="A183" s="1"/>
    </row>
    <row r="184" spans="1:1">
      <c r="A184" s="1"/>
    </row>
    <row r="185" spans="1:1">
      <c r="A18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14A57-6A1A-7E46-ACD6-3C24C15D529C}">
  <dimension ref="A1:I187"/>
  <sheetViews>
    <sheetView workbookViewId="0">
      <selection activeCell="I1" sqref="I1:I1048576"/>
    </sheetView>
  </sheetViews>
  <sheetFormatPr baseColWidth="10" defaultRowHeight="16"/>
  <cols>
    <col min="1" max="1" width="16" bestFit="1" customWidth="1"/>
    <col min="2" max="2" width="33" customWidth="1"/>
    <col min="3" max="3" width="27.5" customWidth="1"/>
    <col min="4" max="4" width="36.6640625" customWidth="1"/>
    <col min="5" max="5" width="46" customWidth="1"/>
    <col min="6" max="6" width="39.6640625" customWidth="1"/>
    <col min="7" max="7" width="25.5" customWidth="1"/>
    <col min="8" max="8" width="40.33203125" customWidth="1"/>
  </cols>
  <sheetData>
    <row r="1" spans="1:9">
      <c r="A1" t="s">
        <v>0</v>
      </c>
      <c r="B1" t="s">
        <v>8</v>
      </c>
      <c r="C1" t="s">
        <v>9</v>
      </c>
      <c r="D1" s="4" t="s">
        <v>5</v>
      </c>
      <c r="E1" s="4" t="s">
        <v>10</v>
      </c>
      <c r="F1" s="2" t="s">
        <v>11</v>
      </c>
      <c r="G1" t="s">
        <v>12</v>
      </c>
      <c r="H1" s="10" t="s">
        <v>13</v>
      </c>
      <c r="I1" s="10" t="s">
        <v>14</v>
      </c>
    </row>
    <row r="2" spans="1:9">
      <c r="A2" s="1">
        <v>45777</v>
      </c>
      <c r="B2">
        <v>7.961552433357294E-2</v>
      </c>
      <c r="C2">
        <v>-2.7036044975625112E-3</v>
      </c>
      <c r="D2" s="3">
        <v>3251739.32</v>
      </c>
      <c r="E2">
        <f>D2/10000</f>
        <v>325.17393199999998</v>
      </c>
      <c r="F2" s="3">
        <v>99.9</v>
      </c>
      <c r="G2" s="6">
        <f>(F2-100)/100</f>
        <v>-9.9999999999994321E-4</v>
      </c>
      <c r="H2" s="3">
        <v>97.3</v>
      </c>
      <c r="I2">
        <f>(H2-100)/100</f>
        <v>-2.7000000000000027E-2</v>
      </c>
    </row>
    <row r="3" spans="1:9">
      <c r="A3" s="1">
        <v>45747</v>
      </c>
      <c r="B3">
        <v>6.9752541654065747E-2</v>
      </c>
      <c r="C3">
        <v>1.7278732178607484E-2</v>
      </c>
      <c r="D3" s="3">
        <v>3260554.57</v>
      </c>
      <c r="E3">
        <f t="shared" ref="E3:E66" si="0">D3/10000</f>
        <v>326.05545699999999</v>
      </c>
      <c r="F3" s="3">
        <v>99.9</v>
      </c>
      <c r="G3" s="6">
        <f t="shared" ref="G3:G66" si="1">(F3-100)/100</f>
        <v>-9.9999999999994321E-4</v>
      </c>
      <c r="H3" s="3">
        <v>97.5</v>
      </c>
      <c r="I3">
        <f t="shared" ref="I3:I66" si="2">(H3-100)/100</f>
        <v>-2.5000000000000001E-2</v>
      </c>
    </row>
    <row r="4" spans="1:9">
      <c r="A4" s="1">
        <v>45716</v>
      </c>
      <c r="B4">
        <v>6.9970009777461706E-2</v>
      </c>
      <c r="C4">
        <v>6.2557342881000696E-3</v>
      </c>
      <c r="D4" s="3">
        <v>3205173.24</v>
      </c>
      <c r="E4">
        <f t="shared" si="0"/>
        <v>320.51732400000003</v>
      </c>
      <c r="F4" s="3">
        <v>99.9</v>
      </c>
      <c r="G4" s="6">
        <f t="shared" si="1"/>
        <v>-9.9999999999994321E-4</v>
      </c>
      <c r="H4" s="3">
        <v>97.8</v>
      </c>
      <c r="I4">
        <f t="shared" si="2"/>
        <v>-2.200000000000003E-2</v>
      </c>
    </row>
    <row r="5" spans="1:9">
      <c r="A5" s="1">
        <v>45688</v>
      </c>
      <c r="B5">
        <v>7.0221576129587487E-2</v>
      </c>
      <c r="C5">
        <v>1.5923364561276639E-2</v>
      </c>
      <c r="D5" s="3">
        <v>3185247.18</v>
      </c>
      <c r="E5">
        <f t="shared" si="0"/>
        <v>318.52471800000001</v>
      </c>
      <c r="F5" s="3">
        <v>99.3</v>
      </c>
      <c r="G5" s="6">
        <f t="shared" si="1"/>
        <v>-7.0000000000000288E-3</v>
      </c>
      <c r="H5" s="3">
        <v>97.7</v>
      </c>
      <c r="I5">
        <f t="shared" si="2"/>
        <v>-2.2999999999999972E-2</v>
      </c>
    </row>
    <row r="6" spans="1:9">
      <c r="A6" s="1">
        <v>45657</v>
      </c>
      <c r="B6">
        <v>7.2743696009351599E-2</v>
      </c>
      <c r="C6">
        <v>5.0439460858550675E-3</v>
      </c>
      <c r="D6" s="3">
        <v>3135322.3</v>
      </c>
      <c r="E6">
        <f t="shared" si="0"/>
        <v>313.53222999999997</v>
      </c>
      <c r="F6" s="3">
        <v>100.5</v>
      </c>
      <c r="G6" s="6">
        <f t="shared" si="1"/>
        <v>5.0000000000000001E-3</v>
      </c>
      <c r="H6" s="3">
        <v>97.7</v>
      </c>
      <c r="I6">
        <f t="shared" si="2"/>
        <v>-2.2999999999999972E-2</v>
      </c>
    </row>
    <row r="7" spans="1:9">
      <c r="A7" s="1">
        <v>45626</v>
      </c>
      <c r="B7">
        <v>7.12816058982019E-2</v>
      </c>
      <c r="C7">
        <v>7.263348950359484E-3</v>
      </c>
      <c r="D7" s="3">
        <v>3119587.27</v>
      </c>
      <c r="E7">
        <f t="shared" si="0"/>
        <v>311.95872700000001</v>
      </c>
      <c r="F7" s="3">
        <v>100.1</v>
      </c>
      <c r="G7" s="6">
        <f t="shared" si="1"/>
        <v>9.9999999999994321E-4</v>
      </c>
      <c r="H7" s="3">
        <v>97.5</v>
      </c>
      <c r="I7">
        <f t="shared" si="2"/>
        <v>-2.5000000000000001E-2</v>
      </c>
    </row>
    <row r="8" spans="1:9">
      <c r="A8" s="1">
        <v>45596</v>
      </c>
      <c r="B8">
        <v>7.4529966867469419E-2</v>
      </c>
      <c r="C8">
        <v>7.411694792742136E-4</v>
      </c>
      <c r="D8" s="3">
        <v>3097092.01</v>
      </c>
      <c r="E8">
        <f t="shared" si="0"/>
        <v>309.70920099999995</v>
      </c>
      <c r="F8" s="3">
        <v>100.2</v>
      </c>
      <c r="G8" s="6">
        <f t="shared" si="1"/>
        <v>2.0000000000000282E-3</v>
      </c>
      <c r="H8" s="3">
        <v>97.1</v>
      </c>
      <c r="I8">
        <f t="shared" si="2"/>
        <v>-2.9000000000000057E-2</v>
      </c>
    </row>
    <row r="9" spans="1:9">
      <c r="A9" s="1">
        <v>45565</v>
      </c>
      <c r="B9">
        <v>6.8402639895034242E-2</v>
      </c>
      <c r="C9">
        <v>1.4534513332798421E-2</v>
      </c>
      <c r="D9" s="3">
        <v>3094798.24</v>
      </c>
      <c r="E9">
        <f t="shared" si="0"/>
        <v>309.47982400000001</v>
      </c>
      <c r="F9" s="3">
        <v>100.3</v>
      </c>
      <c r="G9" s="6">
        <f t="shared" si="1"/>
        <v>2.9999999999999714E-3</v>
      </c>
      <c r="H9" s="3">
        <v>97.2</v>
      </c>
      <c r="I9">
        <f t="shared" si="2"/>
        <v>-2.7999999999999973E-2</v>
      </c>
    </row>
    <row r="10" spans="1:9">
      <c r="A10" s="1">
        <v>45535</v>
      </c>
      <c r="B10">
        <v>6.3121768369817741E-2</v>
      </c>
      <c r="C10">
        <v>5.7369407546129774E-3</v>
      </c>
      <c r="D10" s="3">
        <v>3050461.27</v>
      </c>
      <c r="E10">
        <f t="shared" si="0"/>
        <v>305.04612700000001</v>
      </c>
      <c r="F10" s="3">
        <v>100.4</v>
      </c>
      <c r="G10" s="6">
        <f t="shared" si="1"/>
        <v>4.0000000000000565E-3</v>
      </c>
      <c r="H10" s="3">
        <v>98.2</v>
      </c>
      <c r="I10">
        <f t="shared" si="2"/>
        <v>-1.7999999999999971E-2</v>
      </c>
    </row>
    <row r="11" spans="1:9">
      <c r="A11" s="1">
        <v>45504</v>
      </c>
      <c r="B11">
        <v>6.2728535489635487E-2</v>
      </c>
      <c r="C11">
        <v>-5.6065096145695428E-3</v>
      </c>
      <c r="D11" s="3">
        <v>3033060.78</v>
      </c>
      <c r="E11">
        <f t="shared" si="0"/>
        <v>303.30607799999996</v>
      </c>
      <c r="F11" s="3">
        <v>100.6</v>
      </c>
      <c r="G11" s="6">
        <f t="shared" si="1"/>
        <v>5.9999999999999429E-3</v>
      </c>
      <c r="H11" s="3">
        <v>99.2</v>
      </c>
      <c r="I11">
        <f t="shared" si="2"/>
        <v>-7.9999999999999724E-3</v>
      </c>
    </row>
    <row r="12" spans="1:9">
      <c r="A12" s="1">
        <v>45473</v>
      </c>
      <c r="B12">
        <v>6.1655496258100982E-2</v>
      </c>
      <c r="C12">
        <v>1.0486910526119667E-2</v>
      </c>
      <c r="D12" s="3">
        <v>3050161.54</v>
      </c>
      <c r="E12">
        <f t="shared" si="0"/>
        <v>305.01615400000003</v>
      </c>
      <c r="F12" s="3">
        <v>100.5</v>
      </c>
      <c r="G12" s="6">
        <f t="shared" si="1"/>
        <v>5.0000000000000001E-3</v>
      </c>
      <c r="H12" s="3">
        <v>99.2</v>
      </c>
      <c r="I12">
        <f t="shared" si="2"/>
        <v>-7.9999999999999724E-3</v>
      </c>
    </row>
    <row r="13" spans="1:9">
      <c r="A13" s="1">
        <v>45443</v>
      </c>
      <c r="B13">
        <v>7.0200929430827896E-2</v>
      </c>
      <c r="C13">
        <v>2.1795738575282916E-3</v>
      </c>
      <c r="D13" s="3">
        <v>3018506.73</v>
      </c>
      <c r="E13">
        <f t="shared" si="0"/>
        <v>301.85067299999997</v>
      </c>
      <c r="F13" s="3">
        <v>100.2</v>
      </c>
      <c r="G13" s="6">
        <f t="shared" si="1"/>
        <v>2.0000000000000282E-3</v>
      </c>
      <c r="H13" s="3">
        <v>98.6</v>
      </c>
      <c r="I13">
        <f t="shared" si="2"/>
        <v>-1.4000000000000058E-2</v>
      </c>
    </row>
    <row r="14" spans="1:9">
      <c r="A14" s="1">
        <v>45412</v>
      </c>
      <c r="B14">
        <v>7.2449656865401335E-2</v>
      </c>
      <c r="C14">
        <v>-1.1814548952763146E-2</v>
      </c>
      <c r="D14" s="3">
        <v>3011941.98</v>
      </c>
      <c r="E14">
        <f t="shared" si="0"/>
        <v>301.19419799999997</v>
      </c>
      <c r="F14" s="3">
        <v>100.3</v>
      </c>
      <c r="G14" s="6">
        <f t="shared" si="1"/>
        <v>2.9999999999999714E-3</v>
      </c>
      <c r="H14" s="3">
        <v>97.5</v>
      </c>
      <c r="I14">
        <f t="shared" si="2"/>
        <v>-2.5000000000000001E-2</v>
      </c>
    </row>
    <row r="15" spans="1:9">
      <c r="A15" s="1">
        <v>45382</v>
      </c>
      <c r="B15">
        <v>8.2920714701512965E-2</v>
      </c>
      <c r="C15">
        <v>1.7485532993042043E-2</v>
      </c>
      <c r="D15" s="3">
        <v>3047952.16</v>
      </c>
      <c r="E15">
        <f t="shared" si="0"/>
        <v>304.79521600000004</v>
      </c>
      <c r="F15" s="3">
        <v>100.3</v>
      </c>
      <c r="G15" s="6">
        <f t="shared" si="1"/>
        <v>2.9999999999999714E-3</v>
      </c>
      <c r="H15" s="3">
        <v>97.2</v>
      </c>
      <c r="I15">
        <f t="shared" si="2"/>
        <v>-2.7999999999999973E-2</v>
      </c>
    </row>
    <row r="16" spans="1:9">
      <c r="A16" s="1">
        <v>45351</v>
      </c>
      <c r="B16">
        <v>8.7223956868685962E-2</v>
      </c>
      <c r="C16">
        <v>6.492320437307326E-3</v>
      </c>
      <c r="D16" s="3">
        <v>2995572.97</v>
      </c>
      <c r="E16">
        <f t="shared" si="0"/>
        <v>299.55729700000001</v>
      </c>
      <c r="F16" s="3">
        <v>100.1</v>
      </c>
      <c r="G16" s="6">
        <f t="shared" si="1"/>
        <v>9.9999999999994321E-4</v>
      </c>
      <c r="H16" s="3">
        <v>97.3</v>
      </c>
      <c r="I16">
        <f t="shared" si="2"/>
        <v>-2.7000000000000027E-2</v>
      </c>
    </row>
    <row r="17" spans="1:9">
      <c r="A17" s="1">
        <v>45322</v>
      </c>
      <c r="B17">
        <v>8.6987535309790254E-2</v>
      </c>
      <c r="C17">
        <v>1.831752346371928E-2</v>
      </c>
      <c r="D17" s="3">
        <v>2976250.2</v>
      </c>
      <c r="E17">
        <f t="shared" si="0"/>
        <v>297.62502000000001</v>
      </c>
      <c r="F17" s="3">
        <v>100.7</v>
      </c>
      <c r="G17" s="6">
        <f t="shared" si="1"/>
        <v>7.0000000000000288E-3</v>
      </c>
      <c r="H17" s="3">
        <v>97.5</v>
      </c>
      <c r="I17">
        <f t="shared" si="2"/>
        <v>-2.5000000000000001E-2</v>
      </c>
    </row>
    <row r="18" spans="1:9">
      <c r="A18" s="1">
        <v>45291</v>
      </c>
      <c r="B18">
        <v>9.6982497798576026E-2</v>
      </c>
      <c r="C18">
        <v>3.6741269759320988E-3</v>
      </c>
      <c r="D18" s="3">
        <v>2922713.33</v>
      </c>
      <c r="E18">
        <f t="shared" si="0"/>
        <v>292.27133300000003</v>
      </c>
      <c r="F18" s="3">
        <v>99.2</v>
      </c>
      <c r="G18" s="6">
        <f t="shared" si="1"/>
        <v>-7.9999999999999724E-3</v>
      </c>
      <c r="H18" s="3">
        <v>97.3</v>
      </c>
      <c r="I18">
        <f t="shared" si="2"/>
        <v>-2.7000000000000027E-2</v>
      </c>
    </row>
    <row r="19" spans="1:9">
      <c r="A19" s="1">
        <v>45260</v>
      </c>
      <c r="B19">
        <v>0.10011518361286105</v>
      </c>
      <c r="C19">
        <v>1.0317592512919962E-2</v>
      </c>
      <c r="D19" s="3">
        <v>2912014.22</v>
      </c>
      <c r="E19">
        <f t="shared" si="0"/>
        <v>291.20142200000004</v>
      </c>
      <c r="F19" s="3">
        <v>99.7</v>
      </c>
      <c r="G19" s="6">
        <f t="shared" si="1"/>
        <v>-2.9999999999999714E-3</v>
      </c>
      <c r="H19" s="3">
        <v>97</v>
      </c>
      <c r="I19">
        <f t="shared" si="2"/>
        <v>-0.03</v>
      </c>
    </row>
    <row r="20" spans="1:9">
      <c r="A20" s="1">
        <v>45230</v>
      </c>
      <c r="B20">
        <v>0.10308852156616817</v>
      </c>
      <c r="C20">
        <v>-4.9653892480292713E-3</v>
      </c>
      <c r="D20" s="3">
        <v>2882276.07</v>
      </c>
      <c r="E20">
        <f t="shared" si="0"/>
        <v>288.22760699999998</v>
      </c>
      <c r="F20" s="3">
        <v>99.5</v>
      </c>
      <c r="G20" s="6">
        <f t="shared" si="1"/>
        <v>-5.0000000000000001E-3</v>
      </c>
      <c r="H20" s="3">
        <v>97.4</v>
      </c>
      <c r="I20">
        <f t="shared" si="2"/>
        <v>-2.5999999999999943E-2</v>
      </c>
    </row>
    <row r="21" spans="1:9">
      <c r="A21" s="1">
        <v>45199</v>
      </c>
      <c r="B21">
        <v>0.10281660527249033</v>
      </c>
      <c r="C21">
        <v>9.5198997192127051E-3</v>
      </c>
      <c r="D21" s="3">
        <v>2896659.11</v>
      </c>
      <c r="E21">
        <f t="shared" si="0"/>
        <v>289.66591099999999</v>
      </c>
      <c r="F21" s="3">
        <v>99.8</v>
      </c>
      <c r="G21" s="6">
        <f t="shared" si="1"/>
        <v>-2.0000000000000282E-3</v>
      </c>
      <c r="H21" s="3">
        <v>97.5</v>
      </c>
      <c r="I21">
        <f t="shared" si="2"/>
        <v>-2.5000000000000001E-2</v>
      </c>
    </row>
    <row r="22" spans="1:9">
      <c r="A22" s="1">
        <v>45169</v>
      </c>
      <c r="B22">
        <v>0.10569085336625844</v>
      </c>
      <c r="C22">
        <v>5.3649336659752789E-3</v>
      </c>
      <c r="D22" s="3">
        <v>2869343.25</v>
      </c>
      <c r="E22">
        <f t="shared" si="0"/>
        <v>286.934325</v>
      </c>
      <c r="F22" s="3">
        <v>100</v>
      </c>
      <c r="G22" s="6">
        <f t="shared" si="1"/>
        <v>0</v>
      </c>
      <c r="H22" s="3">
        <v>97</v>
      </c>
      <c r="I22">
        <f t="shared" si="2"/>
        <v>-0.03</v>
      </c>
    </row>
    <row r="23" spans="1:9">
      <c r="A23" s="1">
        <v>45138</v>
      </c>
      <c r="B23">
        <v>0.10703823894707765</v>
      </c>
      <c r="C23">
        <v>-6.6105508077181586E-3</v>
      </c>
      <c r="D23" s="3">
        <v>2854031.56</v>
      </c>
      <c r="E23">
        <f t="shared" si="0"/>
        <v>285.40315600000002</v>
      </c>
      <c r="F23" s="3">
        <v>100.1</v>
      </c>
      <c r="G23" s="6">
        <f t="shared" si="1"/>
        <v>9.9999999999994321E-4</v>
      </c>
      <c r="H23" s="3">
        <v>95.6</v>
      </c>
      <c r="I23">
        <f t="shared" si="2"/>
        <v>-4.400000000000006E-2</v>
      </c>
    </row>
    <row r="24" spans="1:9">
      <c r="A24" s="1">
        <v>45107</v>
      </c>
      <c r="B24">
        <v>0.11294911559823399</v>
      </c>
      <c r="C24">
        <v>1.8620479651180692E-2</v>
      </c>
      <c r="D24" s="3">
        <v>2873023.83</v>
      </c>
      <c r="E24">
        <f t="shared" si="0"/>
        <v>287.30238300000002</v>
      </c>
      <c r="F24" s="3">
        <v>99.7</v>
      </c>
      <c r="G24" s="6">
        <f t="shared" si="1"/>
        <v>-2.9999999999999714E-3</v>
      </c>
      <c r="H24" s="3">
        <v>94.6</v>
      </c>
      <c r="I24">
        <f t="shared" si="2"/>
        <v>-5.4000000000000055E-2</v>
      </c>
    </row>
    <row r="25" spans="1:9">
      <c r="A25" s="1">
        <v>45077</v>
      </c>
      <c r="B25">
        <v>0.1161359291830044</v>
      </c>
      <c r="C25">
        <v>4.2853734696638411E-3</v>
      </c>
      <c r="D25" s="3">
        <v>2820504.68</v>
      </c>
      <c r="E25">
        <f t="shared" si="0"/>
        <v>282.05046800000002</v>
      </c>
      <c r="F25" s="3">
        <v>100</v>
      </c>
      <c r="G25" s="6">
        <f t="shared" si="1"/>
        <v>0</v>
      </c>
      <c r="H25" s="3">
        <v>95.4</v>
      </c>
      <c r="I25">
        <f t="shared" si="2"/>
        <v>-4.5999999999999944E-2</v>
      </c>
    </row>
    <row r="26" spans="1:9">
      <c r="A26" s="1">
        <v>45046</v>
      </c>
      <c r="B26">
        <v>0.12351765958215406</v>
      </c>
      <c r="C26">
        <v>-2.1662200596724275E-3</v>
      </c>
      <c r="D26" s="3">
        <v>2808469.34</v>
      </c>
      <c r="E26">
        <f t="shared" si="0"/>
        <v>280.84693399999998</v>
      </c>
      <c r="F26" s="3">
        <v>100.2</v>
      </c>
      <c r="G26" s="6">
        <f t="shared" si="1"/>
        <v>2.0000000000000282E-3</v>
      </c>
      <c r="H26" s="3">
        <v>96.4</v>
      </c>
      <c r="I26">
        <f t="shared" si="2"/>
        <v>-3.5999999999999942E-2</v>
      </c>
    </row>
    <row r="27" spans="1:9">
      <c r="A27" s="1">
        <v>45016</v>
      </c>
      <c r="B27">
        <v>0.12686849873351302</v>
      </c>
      <c r="C27">
        <v>2.1528752954229145E-2</v>
      </c>
      <c r="D27" s="3">
        <v>2814566.31</v>
      </c>
      <c r="E27">
        <f t="shared" si="0"/>
        <v>281.45663100000002</v>
      </c>
      <c r="F27" s="3">
        <v>100.1</v>
      </c>
      <c r="G27" s="6">
        <f t="shared" si="1"/>
        <v>9.9999999999994321E-4</v>
      </c>
      <c r="H27" s="3">
        <v>97.5</v>
      </c>
      <c r="I27">
        <f t="shared" si="2"/>
        <v>-2.5000000000000001E-2</v>
      </c>
    </row>
    <row r="28" spans="1:9">
      <c r="A28" s="1">
        <v>44985</v>
      </c>
      <c r="B28">
        <v>0.1285118805987609</v>
      </c>
      <c r="C28">
        <v>6.2734543224548757E-3</v>
      </c>
      <c r="D28" s="3">
        <v>2755249.23</v>
      </c>
      <c r="E28">
        <f t="shared" si="0"/>
        <v>275.524923</v>
      </c>
      <c r="F28" s="3">
        <v>100.7</v>
      </c>
      <c r="G28" s="6">
        <f t="shared" si="1"/>
        <v>7.0000000000000288E-3</v>
      </c>
      <c r="H28" s="3">
        <v>98.6</v>
      </c>
      <c r="I28">
        <f t="shared" si="2"/>
        <v>-1.4000000000000058E-2</v>
      </c>
    </row>
    <row r="29" spans="1:9">
      <c r="A29" s="1">
        <v>44957</v>
      </c>
      <c r="B29">
        <v>0.12630459496487134</v>
      </c>
      <c r="C29">
        <v>2.7681058111604987E-2</v>
      </c>
      <c r="D29" s="3">
        <v>2738072.06</v>
      </c>
      <c r="E29">
        <f t="shared" si="0"/>
        <v>273.80720600000001</v>
      </c>
      <c r="F29" s="3">
        <v>101</v>
      </c>
      <c r="G29" s="6">
        <f t="shared" si="1"/>
        <v>0.01</v>
      </c>
      <c r="H29" s="3">
        <v>99.2</v>
      </c>
      <c r="I29">
        <f t="shared" si="2"/>
        <v>-7.9999999999999724E-3</v>
      </c>
    </row>
    <row r="30" spans="1:9">
      <c r="A30" s="1">
        <v>44926</v>
      </c>
      <c r="B30">
        <v>0.11810035333591642</v>
      </c>
      <c r="C30">
        <v>6.5403492776116342E-3</v>
      </c>
      <c r="D30" s="3">
        <v>2664320.84</v>
      </c>
      <c r="E30">
        <f t="shared" si="0"/>
        <v>266.43208399999997</v>
      </c>
      <c r="F30" s="3">
        <v>102.1</v>
      </c>
      <c r="G30" s="6">
        <f t="shared" si="1"/>
        <v>2.0999999999999942E-2</v>
      </c>
      <c r="H30" s="3">
        <v>99.3</v>
      </c>
      <c r="I30">
        <f t="shared" si="2"/>
        <v>-7.0000000000000288E-3</v>
      </c>
    </row>
    <row r="31" spans="1:9">
      <c r="A31" s="1">
        <v>44895</v>
      </c>
      <c r="B31">
        <v>0.1235119456653538</v>
      </c>
      <c r="C31">
        <v>1.3048229892950595E-2</v>
      </c>
      <c r="D31" s="3">
        <v>2647008.48</v>
      </c>
      <c r="E31">
        <f t="shared" si="0"/>
        <v>264.70084800000001</v>
      </c>
      <c r="F31" s="3">
        <v>101.8</v>
      </c>
      <c r="G31" s="6">
        <f t="shared" si="1"/>
        <v>1.7999999999999971E-2</v>
      </c>
      <c r="H31" s="3">
        <v>98.7</v>
      </c>
      <c r="I31">
        <f t="shared" si="2"/>
        <v>-1.2999999999999972E-2</v>
      </c>
    </row>
    <row r="32" spans="1:9">
      <c r="A32" s="1">
        <v>44865</v>
      </c>
      <c r="B32">
        <v>0.11846535902362318</v>
      </c>
      <c r="C32">
        <v>-5.2106697655462993E-3</v>
      </c>
      <c r="D32" s="3">
        <v>2612914.5699999998</v>
      </c>
      <c r="E32">
        <f t="shared" si="0"/>
        <v>261.29145699999998</v>
      </c>
      <c r="F32" s="3">
        <v>101.6</v>
      </c>
      <c r="G32" s="6">
        <f t="shared" si="1"/>
        <v>1.5999999999999945E-2</v>
      </c>
      <c r="H32" s="3">
        <v>98.7</v>
      </c>
      <c r="I32">
        <f t="shared" si="2"/>
        <v>-1.2999999999999972E-2</v>
      </c>
    </row>
    <row r="33" spans="1:9">
      <c r="A33" s="1">
        <v>44834</v>
      </c>
      <c r="B33">
        <v>0.12112328096233359</v>
      </c>
      <c r="C33">
        <v>1.2150990540221859E-2</v>
      </c>
      <c r="D33" s="3">
        <v>2626600.92</v>
      </c>
      <c r="E33">
        <f t="shared" si="0"/>
        <v>262.66009200000002</v>
      </c>
      <c r="F33" s="3">
        <v>102.1</v>
      </c>
      <c r="G33" s="6">
        <f t="shared" si="1"/>
        <v>2.0999999999999942E-2</v>
      </c>
      <c r="H33" s="3">
        <v>100.9</v>
      </c>
      <c r="I33">
        <f t="shared" si="2"/>
        <v>9.0000000000000566E-3</v>
      </c>
    </row>
    <row r="34" spans="1:9">
      <c r="A34" s="1">
        <v>44804</v>
      </c>
      <c r="B34">
        <v>0.12230443406102524</v>
      </c>
      <c r="C34">
        <v>6.5900629242654106E-3</v>
      </c>
      <c r="D34" s="3">
        <v>2595068.27</v>
      </c>
      <c r="E34">
        <f t="shared" si="0"/>
        <v>259.50682699999999</v>
      </c>
      <c r="F34" s="3">
        <v>102.8</v>
      </c>
      <c r="G34" s="6">
        <f t="shared" si="1"/>
        <v>2.7999999999999973E-2</v>
      </c>
      <c r="H34" s="3">
        <v>102.3</v>
      </c>
      <c r="I34">
        <f t="shared" si="2"/>
        <v>2.2999999999999972E-2</v>
      </c>
    </row>
    <row r="35" spans="1:9">
      <c r="A35" s="1">
        <v>44773</v>
      </c>
      <c r="B35">
        <v>0.11985504513334388</v>
      </c>
      <c r="C35">
        <v>-1.3064860571450484E-3</v>
      </c>
      <c r="D35" s="3">
        <v>2578078.5699999998</v>
      </c>
      <c r="E35">
        <f t="shared" si="0"/>
        <v>257.80785699999996</v>
      </c>
      <c r="F35" s="3">
        <v>102.5</v>
      </c>
      <c r="G35" s="6">
        <f t="shared" si="1"/>
        <v>2.5000000000000001E-2</v>
      </c>
      <c r="H35" s="3">
        <v>104.2</v>
      </c>
      <c r="I35">
        <f t="shared" si="2"/>
        <v>4.200000000000003E-2</v>
      </c>
    </row>
    <row r="36" spans="1:9">
      <c r="A36" s="1">
        <v>44742</v>
      </c>
      <c r="B36">
        <v>0.11375621888100272</v>
      </c>
      <c r="C36">
        <v>2.1537193036170316E-2</v>
      </c>
      <c r="D36" s="3">
        <v>2581451.2000000002</v>
      </c>
      <c r="E36">
        <f t="shared" si="0"/>
        <v>258.14512000000002</v>
      </c>
      <c r="F36" s="3">
        <v>102.7</v>
      </c>
      <c r="G36" s="6">
        <f t="shared" si="1"/>
        <v>2.7000000000000027E-2</v>
      </c>
      <c r="H36" s="3">
        <v>106.1</v>
      </c>
      <c r="I36">
        <f t="shared" si="2"/>
        <v>6.0999999999999943E-2</v>
      </c>
    </row>
    <row r="37" spans="1:9">
      <c r="A37" s="1">
        <v>44712</v>
      </c>
      <c r="B37">
        <v>0.11051807188618035</v>
      </c>
      <c r="C37">
        <v>1.0927363640331368E-2</v>
      </c>
      <c r="D37" s="3">
        <v>2527026.15</v>
      </c>
      <c r="E37">
        <f t="shared" si="0"/>
        <v>252.70261499999998</v>
      </c>
      <c r="F37" s="3">
        <v>102.5</v>
      </c>
      <c r="G37" s="6">
        <f t="shared" si="1"/>
        <v>2.5000000000000001E-2</v>
      </c>
      <c r="H37" s="3">
        <v>106.4</v>
      </c>
      <c r="I37">
        <f t="shared" si="2"/>
        <v>6.4000000000000057E-2</v>
      </c>
    </row>
    <row r="38" spans="1:9">
      <c r="A38" s="1">
        <v>44681</v>
      </c>
      <c r="B38">
        <v>0.10503648474436515</v>
      </c>
      <c r="C38">
        <v>8.0977276772651945E-4</v>
      </c>
      <c r="D38" s="3">
        <v>2499710.9</v>
      </c>
      <c r="E38">
        <f t="shared" si="0"/>
        <v>249.97109</v>
      </c>
      <c r="F38" s="3">
        <v>102.1</v>
      </c>
      <c r="G38" s="6">
        <f t="shared" si="1"/>
        <v>2.0999999999999942E-2</v>
      </c>
      <c r="H38" s="3">
        <v>108</v>
      </c>
      <c r="I38">
        <f t="shared" si="2"/>
        <v>0.08</v>
      </c>
    </row>
    <row r="39" spans="1:9">
      <c r="A39" s="1">
        <v>44651</v>
      </c>
      <c r="B39">
        <v>9.7167147937868806E-2</v>
      </c>
      <c r="C39">
        <v>2.3018511368206485E-2</v>
      </c>
      <c r="D39" s="3">
        <v>2497688.34</v>
      </c>
      <c r="E39">
        <f t="shared" si="0"/>
        <v>249.768834</v>
      </c>
      <c r="F39" s="3">
        <v>102.1</v>
      </c>
      <c r="G39" s="6">
        <f t="shared" si="1"/>
        <v>2.0999999999999942E-2</v>
      </c>
      <c r="H39" s="3">
        <v>108.3</v>
      </c>
      <c r="I39">
        <f t="shared" si="2"/>
        <v>8.2999999999999977E-2</v>
      </c>
    </row>
    <row r="40" spans="1:9">
      <c r="A40" s="1">
        <v>44620</v>
      </c>
      <c r="B40">
        <v>9.1885447024317168E-2</v>
      </c>
      <c r="C40">
        <v>4.305257994462389E-3</v>
      </c>
      <c r="D40" s="3">
        <v>2441488.9</v>
      </c>
      <c r="E40">
        <f t="shared" si="0"/>
        <v>244.14888999999999</v>
      </c>
      <c r="F40" s="3">
        <v>101.5</v>
      </c>
      <c r="G40" s="6">
        <f t="shared" si="1"/>
        <v>1.4999999999999999E-2</v>
      </c>
      <c r="H40" s="3">
        <v>108.8</v>
      </c>
      <c r="I40">
        <f t="shared" si="2"/>
        <v>8.7999999999999967E-2</v>
      </c>
    </row>
    <row r="41" spans="1:9">
      <c r="A41" s="1">
        <v>44592</v>
      </c>
      <c r="B41">
        <v>9.8495584366919131E-2</v>
      </c>
      <c r="C41">
        <v>2.0195211249273197E-2</v>
      </c>
      <c r="D41" s="3">
        <v>2431022.7200000002</v>
      </c>
      <c r="E41">
        <f t="shared" si="0"/>
        <v>243.10227200000003</v>
      </c>
      <c r="F41" s="3">
        <v>100.9</v>
      </c>
      <c r="G41" s="6">
        <f t="shared" si="1"/>
        <v>9.0000000000000566E-3</v>
      </c>
      <c r="H41" s="3">
        <v>109.1</v>
      </c>
      <c r="I41">
        <f t="shared" si="2"/>
        <v>9.0999999999999942E-2</v>
      </c>
    </row>
    <row r="42" spans="1:9">
      <c r="A42" s="1">
        <v>44561</v>
      </c>
      <c r="B42">
        <v>8.9676256891080913E-2</v>
      </c>
      <c r="C42">
        <v>1.141199252248544E-2</v>
      </c>
      <c r="D42" s="3">
        <v>2382899.56</v>
      </c>
      <c r="E42">
        <f t="shared" si="0"/>
        <v>238.28995600000002</v>
      </c>
      <c r="F42" s="3">
        <v>100.9</v>
      </c>
      <c r="G42" s="6">
        <f t="shared" si="1"/>
        <v>9.0000000000000566E-3</v>
      </c>
      <c r="H42" s="3">
        <v>110.3</v>
      </c>
      <c r="I42">
        <f t="shared" si="2"/>
        <v>0.10299999999999997</v>
      </c>
    </row>
    <row r="43" spans="1:9">
      <c r="A43" s="1">
        <v>44530</v>
      </c>
      <c r="B43">
        <v>8.4719150076504268E-2</v>
      </c>
      <c r="C43">
        <v>8.4978237453960329E-3</v>
      </c>
      <c r="D43" s="3">
        <v>2356012.7599999998</v>
      </c>
      <c r="E43">
        <f t="shared" si="0"/>
        <v>235.60127599999998</v>
      </c>
      <c r="F43" s="3">
        <v>101.5</v>
      </c>
      <c r="G43" s="6">
        <f t="shared" si="1"/>
        <v>1.4999999999999999E-2</v>
      </c>
      <c r="H43" s="3">
        <v>112.9</v>
      </c>
      <c r="I43">
        <f t="shared" si="2"/>
        <v>0.12900000000000006</v>
      </c>
    </row>
    <row r="44" spans="1:9">
      <c r="A44" s="1">
        <v>44500</v>
      </c>
      <c r="B44">
        <v>8.6727584789839815E-2</v>
      </c>
      <c r="C44">
        <v>-2.8466516366939536E-3</v>
      </c>
      <c r="D44" s="3">
        <v>2336160.48</v>
      </c>
      <c r="E44">
        <f t="shared" si="0"/>
        <v>233.61604800000001</v>
      </c>
      <c r="F44" s="3">
        <v>102.3</v>
      </c>
      <c r="G44" s="6">
        <f t="shared" si="1"/>
        <v>2.2999999999999972E-2</v>
      </c>
      <c r="H44" s="3">
        <v>113.5</v>
      </c>
      <c r="I44">
        <f t="shared" si="2"/>
        <v>0.13500000000000001</v>
      </c>
    </row>
    <row r="45" spans="1:9">
      <c r="A45" s="1">
        <v>44469</v>
      </c>
      <c r="B45">
        <v>8.2596070172481412E-2</v>
      </c>
      <c r="C45">
        <v>1.3217336497995776E-2</v>
      </c>
      <c r="D45" s="3">
        <v>2342829.7000000002</v>
      </c>
      <c r="E45">
        <f t="shared" si="0"/>
        <v>234.28297000000001</v>
      </c>
      <c r="F45" s="3">
        <v>101.5</v>
      </c>
      <c r="G45" s="6">
        <f t="shared" si="1"/>
        <v>1.4999999999999999E-2</v>
      </c>
      <c r="H45" s="3">
        <v>110.7</v>
      </c>
      <c r="I45">
        <f t="shared" si="2"/>
        <v>0.10700000000000003</v>
      </c>
    </row>
    <row r="46" spans="1:9">
      <c r="A46" s="1">
        <v>44439</v>
      </c>
      <c r="B46">
        <v>8.2098343200183679E-2</v>
      </c>
      <c r="C46">
        <v>4.3932164359027654E-3</v>
      </c>
      <c r="D46" s="3">
        <v>2312267.6800000002</v>
      </c>
      <c r="E46">
        <f t="shared" si="0"/>
        <v>231.22676800000002</v>
      </c>
      <c r="F46" s="3">
        <v>100.7</v>
      </c>
      <c r="G46" s="6">
        <f t="shared" si="1"/>
        <v>7.0000000000000288E-3</v>
      </c>
      <c r="H46" s="3">
        <v>109.5</v>
      </c>
      <c r="I46">
        <f t="shared" si="2"/>
        <v>9.5000000000000001E-2</v>
      </c>
    </row>
    <row r="47" spans="1:9">
      <c r="A47" s="1">
        <v>44408</v>
      </c>
      <c r="B47">
        <v>8.3132822083005972E-2</v>
      </c>
      <c r="C47">
        <v>-6.745456259000299E-3</v>
      </c>
      <c r="D47" s="3">
        <v>2302153.8199999998</v>
      </c>
      <c r="E47">
        <f t="shared" si="0"/>
        <v>230.21538199999998</v>
      </c>
      <c r="F47" s="3">
        <v>100.8</v>
      </c>
      <c r="G47" s="6">
        <f t="shared" si="1"/>
        <v>7.9999999999999724E-3</v>
      </c>
      <c r="H47" s="3">
        <v>109</v>
      </c>
      <c r="I47">
        <f t="shared" si="2"/>
        <v>0.09</v>
      </c>
    </row>
    <row r="48" spans="1:9">
      <c r="A48" s="1">
        <v>44377</v>
      </c>
      <c r="B48">
        <v>8.5641263148688418E-2</v>
      </c>
      <c r="C48">
        <v>1.8567164644272483E-2</v>
      </c>
      <c r="D48" s="3">
        <v>2317788.36</v>
      </c>
      <c r="E48">
        <f t="shared" si="0"/>
        <v>231.77883599999998</v>
      </c>
      <c r="F48" s="3">
        <v>101</v>
      </c>
      <c r="G48" s="6">
        <f t="shared" si="1"/>
        <v>0.01</v>
      </c>
      <c r="H48" s="3">
        <v>108.8</v>
      </c>
      <c r="I48">
        <f t="shared" si="2"/>
        <v>8.7999999999999967E-2</v>
      </c>
    </row>
    <row r="49" spans="1:9">
      <c r="A49" s="1">
        <v>44347</v>
      </c>
      <c r="B49">
        <v>8.3494756511161061E-2</v>
      </c>
      <c r="C49">
        <v>5.9373625065110621E-3</v>
      </c>
      <c r="D49" s="3">
        <v>2275538.0699999998</v>
      </c>
      <c r="E49">
        <f t="shared" si="0"/>
        <v>227.55380699999998</v>
      </c>
      <c r="F49" s="3">
        <v>101.1</v>
      </c>
      <c r="G49" s="6">
        <f t="shared" si="1"/>
        <v>1.0999999999999944E-2</v>
      </c>
      <c r="H49" s="3">
        <v>109</v>
      </c>
      <c r="I49">
        <f t="shared" si="2"/>
        <v>0.09</v>
      </c>
    </row>
    <row r="50" spans="1:9">
      <c r="A50" s="1">
        <v>44316</v>
      </c>
      <c r="B50">
        <v>8.0520929532817739E-2</v>
      </c>
      <c r="C50">
        <v>-6.317330535984083E-3</v>
      </c>
      <c r="D50" s="3">
        <v>2262107.12</v>
      </c>
      <c r="E50">
        <f t="shared" si="0"/>
        <v>226.210712</v>
      </c>
      <c r="F50" s="3">
        <v>101.3</v>
      </c>
      <c r="G50" s="6">
        <f t="shared" si="1"/>
        <v>1.2999999999999972E-2</v>
      </c>
      <c r="H50" s="3">
        <v>106.8</v>
      </c>
      <c r="I50">
        <f t="shared" si="2"/>
        <v>6.7999999999999977E-2</v>
      </c>
    </row>
    <row r="51" spans="1:9">
      <c r="A51" s="1">
        <v>44286</v>
      </c>
      <c r="B51">
        <v>9.3979931726559926E-2</v>
      </c>
      <c r="C51">
        <v>1.8093757818823265E-2</v>
      </c>
      <c r="D51" s="3">
        <v>2276488.4500000002</v>
      </c>
      <c r="E51">
        <f t="shared" si="0"/>
        <v>227.64884500000002</v>
      </c>
      <c r="F51" s="3">
        <v>100.9</v>
      </c>
      <c r="G51" s="6">
        <f t="shared" si="1"/>
        <v>9.0000000000000566E-3</v>
      </c>
      <c r="H51" s="3">
        <v>104.4</v>
      </c>
      <c r="I51">
        <f t="shared" si="2"/>
        <v>4.400000000000006E-2</v>
      </c>
    </row>
    <row r="52" spans="1:9">
      <c r="A52" s="1">
        <v>44255</v>
      </c>
      <c r="B52">
        <v>0.10104233124496917</v>
      </c>
      <c r="C52">
        <v>1.0385195873781741E-2</v>
      </c>
      <c r="D52" s="3">
        <v>2236030.2599999998</v>
      </c>
      <c r="E52">
        <f t="shared" si="0"/>
        <v>223.60302599999997</v>
      </c>
      <c r="F52" s="3">
        <v>100.4</v>
      </c>
      <c r="G52" s="6">
        <f t="shared" si="1"/>
        <v>4.0000000000000565E-3</v>
      </c>
      <c r="H52" s="3">
        <v>101.7</v>
      </c>
      <c r="I52">
        <f t="shared" si="2"/>
        <v>1.7000000000000029E-2</v>
      </c>
    </row>
    <row r="53" spans="1:9">
      <c r="A53" s="1">
        <v>44227</v>
      </c>
      <c r="B53">
        <v>9.3907363370938982E-2</v>
      </c>
      <c r="C53">
        <v>1.2004522287628747E-2</v>
      </c>
      <c r="D53" s="3">
        <v>2213047.33</v>
      </c>
      <c r="E53">
        <f t="shared" si="0"/>
        <v>221.304733</v>
      </c>
      <c r="F53" s="3">
        <v>99.8</v>
      </c>
      <c r="G53" s="6">
        <f t="shared" si="1"/>
        <v>-2.0000000000000282E-3</v>
      </c>
      <c r="H53" s="3">
        <v>100.3</v>
      </c>
      <c r="I53">
        <f t="shared" si="2"/>
        <v>2.9999999999999714E-3</v>
      </c>
    </row>
    <row r="54" spans="1:9">
      <c r="A54" s="1">
        <v>44196</v>
      </c>
      <c r="B54">
        <v>0.10083473311468225</v>
      </c>
      <c r="C54">
        <v>6.810922022168122E-3</v>
      </c>
      <c r="D54" s="3">
        <v>2186795.89</v>
      </c>
      <c r="E54">
        <f t="shared" si="0"/>
        <v>218.67958900000002</v>
      </c>
      <c r="F54" s="3">
        <v>99.7</v>
      </c>
      <c r="G54" s="6">
        <f t="shared" si="1"/>
        <v>-2.9999999999999714E-3</v>
      </c>
      <c r="H54" s="3">
        <v>99.6</v>
      </c>
      <c r="I54">
        <f t="shared" si="2"/>
        <v>-4.0000000000000565E-3</v>
      </c>
    </row>
    <row r="55" spans="1:9">
      <c r="A55" s="1">
        <v>44165</v>
      </c>
      <c r="B55">
        <v>0.10735689636491445</v>
      </c>
      <c r="C55">
        <v>1.0365129247830231E-2</v>
      </c>
      <c r="D55" s="3">
        <v>2172002.5499999998</v>
      </c>
      <c r="E55">
        <f t="shared" si="0"/>
        <v>217.20025499999997</v>
      </c>
      <c r="F55" s="12">
        <v>100.2</v>
      </c>
      <c r="G55" s="6">
        <f t="shared" si="1"/>
        <v>2.0000000000000282E-3</v>
      </c>
      <c r="H55" s="3">
        <v>98.5</v>
      </c>
      <c r="I55">
        <f t="shared" si="2"/>
        <v>-1.4999999999999999E-2</v>
      </c>
    </row>
    <row r="56" spans="1:9">
      <c r="A56" s="1">
        <v>44135</v>
      </c>
      <c r="B56">
        <v>0.1049135548404321</v>
      </c>
      <c r="C56">
        <v>-6.6376234424824244E-3</v>
      </c>
      <c r="D56" s="3">
        <v>2149720.42</v>
      </c>
      <c r="E56">
        <f t="shared" si="0"/>
        <v>214.97204199999999</v>
      </c>
      <c r="F56" s="12">
        <v>99.5</v>
      </c>
      <c r="G56" s="6">
        <f t="shared" si="1"/>
        <v>-5.0000000000000001E-3</v>
      </c>
      <c r="H56" s="3">
        <v>97.9</v>
      </c>
      <c r="I56">
        <f t="shared" si="2"/>
        <v>-2.0999999999999942E-2</v>
      </c>
    </row>
    <row r="57" spans="1:9">
      <c r="A57" s="1">
        <v>44104</v>
      </c>
      <c r="B57">
        <v>0.10850775097000991</v>
      </c>
      <c r="C57">
        <v>1.2751506618256451E-2</v>
      </c>
      <c r="D57" s="3">
        <v>2164084.7999999998</v>
      </c>
      <c r="E57">
        <f t="shared" si="0"/>
        <v>216.40847999999997</v>
      </c>
      <c r="F57" s="12">
        <v>100.5</v>
      </c>
      <c r="G57" s="6">
        <f t="shared" si="1"/>
        <v>5.0000000000000001E-3</v>
      </c>
      <c r="H57" s="3">
        <v>97.9</v>
      </c>
      <c r="I57">
        <f t="shared" si="2"/>
        <v>-2.0999999999999942E-2</v>
      </c>
    </row>
    <row r="58" spans="1:9">
      <c r="A58" s="1">
        <v>44074</v>
      </c>
      <c r="B58">
        <v>0.10402752130629631</v>
      </c>
      <c r="C58">
        <v>5.353409729776693E-3</v>
      </c>
      <c r="D58" s="3">
        <v>2136836.91</v>
      </c>
      <c r="E58">
        <f t="shared" si="0"/>
        <v>213.68369100000001</v>
      </c>
      <c r="F58" s="12">
        <v>101.7</v>
      </c>
      <c r="G58" s="6">
        <f t="shared" si="1"/>
        <v>1.7000000000000029E-2</v>
      </c>
      <c r="H58" s="3">
        <v>98</v>
      </c>
      <c r="I58">
        <f t="shared" si="2"/>
        <v>-0.02</v>
      </c>
    </row>
    <row r="59" spans="1:9">
      <c r="A59" s="1">
        <v>44043</v>
      </c>
      <c r="B59">
        <v>0.10734942090198277</v>
      </c>
      <c r="C59">
        <v>-4.4451654401844896E-3</v>
      </c>
      <c r="D59" s="3">
        <v>2125458.46</v>
      </c>
      <c r="E59">
        <f t="shared" si="0"/>
        <v>212.54584599999998</v>
      </c>
      <c r="F59" s="12">
        <v>102.4</v>
      </c>
      <c r="G59" s="6">
        <f t="shared" si="1"/>
        <v>2.4000000000000056E-2</v>
      </c>
      <c r="H59" s="3">
        <v>97.6</v>
      </c>
      <c r="I59">
        <f t="shared" si="2"/>
        <v>-2.4000000000000056E-2</v>
      </c>
    </row>
    <row r="60" spans="1:9">
      <c r="A60" s="1">
        <v>44012</v>
      </c>
      <c r="B60">
        <v>0.11116524174470389</v>
      </c>
      <c r="C60">
        <v>1.6553275476744678E-2</v>
      </c>
      <c r="D60" s="3">
        <v>2134948.66</v>
      </c>
      <c r="E60">
        <f t="shared" si="0"/>
        <v>213.494866</v>
      </c>
      <c r="F60" s="12">
        <v>102.7</v>
      </c>
      <c r="G60" s="6">
        <f t="shared" si="1"/>
        <v>2.7000000000000027E-2</v>
      </c>
      <c r="H60" s="3">
        <v>97</v>
      </c>
      <c r="I60">
        <f t="shared" si="2"/>
        <v>-0.03</v>
      </c>
    </row>
    <row r="61" spans="1:9">
      <c r="A61" s="1">
        <v>43982</v>
      </c>
      <c r="B61">
        <v>0.11053043441154481</v>
      </c>
      <c r="C61">
        <v>3.1764043669646118E-3</v>
      </c>
      <c r="D61" s="3">
        <v>2100183.7400000002</v>
      </c>
      <c r="E61">
        <f t="shared" si="0"/>
        <v>210.01837400000002</v>
      </c>
      <c r="F61" s="12">
        <v>102.5</v>
      </c>
      <c r="G61" s="6">
        <f t="shared" si="1"/>
        <v>2.5000000000000001E-2</v>
      </c>
      <c r="H61" s="3">
        <v>96.3</v>
      </c>
      <c r="I61">
        <f t="shared" si="2"/>
        <v>-3.7000000000000026E-2</v>
      </c>
    </row>
    <row r="62" spans="1:9">
      <c r="A62" s="1">
        <v>43951</v>
      </c>
      <c r="B62">
        <v>0.11082229962202461</v>
      </c>
      <c r="C62">
        <v>6.0600115984086886E-3</v>
      </c>
      <c r="D62" s="3">
        <v>2093533.83</v>
      </c>
      <c r="E62">
        <f t="shared" si="0"/>
        <v>209.35338300000001</v>
      </c>
      <c r="F62" s="12">
        <v>102.4</v>
      </c>
      <c r="G62" s="6">
        <f t="shared" si="1"/>
        <v>2.4000000000000056E-2</v>
      </c>
      <c r="H62" s="3">
        <v>96.9</v>
      </c>
      <c r="I62">
        <f t="shared" si="2"/>
        <v>-3.0999999999999944E-2</v>
      </c>
    </row>
    <row r="63" spans="1:9">
      <c r="A63" s="1">
        <v>43921</v>
      </c>
      <c r="B63">
        <v>0.10136024107477155</v>
      </c>
      <c r="C63">
        <v>2.4666259430957307E-2</v>
      </c>
      <c r="D63" s="3">
        <v>2080923.41</v>
      </c>
      <c r="E63">
        <f t="shared" si="0"/>
        <v>208.092341</v>
      </c>
      <c r="F63" s="12">
        <v>103.3</v>
      </c>
      <c r="G63" s="6">
        <f t="shared" si="1"/>
        <v>3.2999999999999974E-2</v>
      </c>
      <c r="H63" s="3">
        <v>98.5</v>
      </c>
      <c r="I63">
        <f t="shared" si="2"/>
        <v>-1.4999999999999999E-2</v>
      </c>
    </row>
    <row r="64" spans="1:9">
      <c r="A64" s="1">
        <v>43890</v>
      </c>
      <c r="B64">
        <v>8.750164296878038E-2</v>
      </c>
      <c r="C64">
        <v>3.8377038215881547E-3</v>
      </c>
      <c r="D64" s="3">
        <v>2030830.42</v>
      </c>
      <c r="E64">
        <f t="shared" si="0"/>
        <v>203.08304200000001</v>
      </c>
      <c r="F64" s="12">
        <v>104.3</v>
      </c>
      <c r="G64" s="6">
        <f t="shared" si="1"/>
        <v>4.2999999999999969E-2</v>
      </c>
      <c r="H64" s="3">
        <v>99.6</v>
      </c>
      <c r="I64">
        <f t="shared" si="2"/>
        <v>-4.0000000000000565E-3</v>
      </c>
    </row>
    <row r="65" spans="1:9">
      <c r="A65" s="1">
        <v>43861</v>
      </c>
      <c r="B65">
        <v>8.4210399724839291E-2</v>
      </c>
      <c r="C65">
        <v>1.8413227213632102E-2</v>
      </c>
      <c r="D65" s="3">
        <v>2023066.49</v>
      </c>
      <c r="E65">
        <f t="shared" si="0"/>
        <v>202.30664899999999</v>
      </c>
      <c r="F65" s="12">
        <v>105.2</v>
      </c>
      <c r="G65" s="6">
        <f t="shared" si="1"/>
        <v>5.2000000000000025E-2</v>
      </c>
      <c r="H65" s="3">
        <v>100.1</v>
      </c>
      <c r="I65">
        <f t="shared" si="2"/>
        <v>9.9999999999994321E-4</v>
      </c>
    </row>
    <row r="66" spans="1:9">
      <c r="A66" s="1">
        <v>43830</v>
      </c>
      <c r="B66">
        <v>8.7447710659787986E-2</v>
      </c>
      <c r="C66">
        <v>1.2776018324104389E-2</v>
      </c>
      <c r="D66" s="3">
        <v>1986488.82</v>
      </c>
      <c r="E66">
        <f t="shared" si="0"/>
        <v>198.64888200000001</v>
      </c>
      <c r="F66" s="12">
        <v>105.4</v>
      </c>
      <c r="G66" s="6">
        <f t="shared" si="1"/>
        <v>5.4000000000000055E-2</v>
      </c>
      <c r="H66" s="3">
        <v>99.5</v>
      </c>
      <c r="I66">
        <f t="shared" si="2"/>
        <v>-5.0000000000000001E-3</v>
      </c>
    </row>
    <row r="67" spans="1:9">
      <c r="A67" s="1">
        <v>43799</v>
      </c>
      <c r="B67">
        <v>8.1765127070713581E-2</v>
      </c>
      <c r="C67">
        <v>8.1357964254276192E-3</v>
      </c>
      <c r="D67" s="3">
        <v>1961429.56</v>
      </c>
      <c r="E67">
        <f t="shared" ref="E67:E130" si="3">D67/10000</f>
        <v>196.142956</v>
      </c>
      <c r="F67" s="12">
        <v>104.5</v>
      </c>
      <c r="G67" s="6">
        <f t="shared" ref="G67:G114" si="4">(F67-100)/100</f>
        <v>4.4999999999999998E-2</v>
      </c>
      <c r="H67" s="3">
        <v>98.6</v>
      </c>
      <c r="I67">
        <f t="shared" ref="I67:I130" si="5">(H67-100)/100</f>
        <v>-1.4000000000000058E-2</v>
      </c>
    </row>
    <row r="68" spans="1:9">
      <c r="A68" s="1">
        <v>43769</v>
      </c>
      <c r="B68">
        <v>8.3561015116384724E-2</v>
      </c>
      <c r="C68">
        <v>-3.4062944453403334E-3</v>
      </c>
      <c r="D68" s="3">
        <v>1945600.55</v>
      </c>
      <c r="E68">
        <f t="shared" si="3"/>
        <v>194.56005500000001</v>
      </c>
      <c r="F68" s="12">
        <v>104.5</v>
      </c>
      <c r="G68" s="6">
        <f t="shared" si="4"/>
        <v>4.4999999999999998E-2</v>
      </c>
      <c r="H68" s="3">
        <v>98.4</v>
      </c>
      <c r="I68">
        <f t="shared" si="5"/>
        <v>-1.5999999999999945E-2</v>
      </c>
    </row>
    <row r="69" spans="1:9">
      <c r="A69" s="1">
        <v>43738</v>
      </c>
      <c r="B69">
        <v>8.3580944028469425E-2</v>
      </c>
      <c r="C69">
        <v>8.6582927115866105E-3</v>
      </c>
      <c r="D69" s="3">
        <v>1952250.49</v>
      </c>
      <c r="E69">
        <f t="shared" si="3"/>
        <v>195.22504900000001</v>
      </c>
      <c r="F69" s="12">
        <v>103.8</v>
      </c>
      <c r="G69" s="6">
        <f t="shared" si="4"/>
        <v>3.7999999999999971E-2</v>
      </c>
      <c r="H69" s="3">
        <v>98.8</v>
      </c>
      <c r="I69">
        <f t="shared" si="5"/>
        <v>-1.2000000000000028E-2</v>
      </c>
    </row>
    <row r="70" spans="1:9">
      <c r="A70" s="1">
        <v>43708</v>
      </c>
      <c r="B70">
        <v>8.2084434078781077E-2</v>
      </c>
      <c r="C70">
        <v>8.3784095788310021E-3</v>
      </c>
      <c r="D70" s="3">
        <v>1935492.43</v>
      </c>
      <c r="E70">
        <f t="shared" si="3"/>
        <v>193.54924299999999</v>
      </c>
      <c r="F70" s="12">
        <v>103</v>
      </c>
      <c r="G70" s="6">
        <f t="shared" si="4"/>
        <v>0.03</v>
      </c>
      <c r="H70" s="3">
        <v>99.2</v>
      </c>
      <c r="I70">
        <f t="shared" si="5"/>
        <v>-7.9999999999999724E-3</v>
      </c>
    </row>
    <row r="71" spans="1:9">
      <c r="A71" s="1">
        <v>43677</v>
      </c>
      <c r="B71">
        <v>8.0630009937359873E-2</v>
      </c>
      <c r="C71">
        <v>-1.0145781151007813E-3</v>
      </c>
      <c r="D71" s="3">
        <v>1919410.82</v>
      </c>
      <c r="E71">
        <f t="shared" si="3"/>
        <v>191.94108199999999</v>
      </c>
      <c r="F71" s="12">
        <v>102.8</v>
      </c>
      <c r="G71" s="6">
        <f t="shared" si="4"/>
        <v>2.7999999999999973E-2</v>
      </c>
      <c r="H71" s="3">
        <v>99.7</v>
      </c>
      <c r="I71">
        <f t="shared" si="5"/>
        <v>-2.9999999999999714E-3</v>
      </c>
    </row>
    <row r="72" spans="1:9">
      <c r="A72" s="1">
        <v>43646</v>
      </c>
      <c r="B72">
        <v>8.5404851037695045E-2</v>
      </c>
      <c r="C72">
        <v>1.5972519843310457E-2</v>
      </c>
      <c r="D72" s="3">
        <v>1921360.19</v>
      </c>
      <c r="E72">
        <f t="shared" si="3"/>
        <v>192.136019</v>
      </c>
      <c r="F72" s="12">
        <v>102.8</v>
      </c>
      <c r="G72" s="6">
        <f t="shared" si="4"/>
        <v>2.7999999999999973E-2</v>
      </c>
      <c r="H72" s="3">
        <v>100</v>
      </c>
      <c r="I72">
        <f t="shared" si="5"/>
        <v>0</v>
      </c>
    </row>
    <row r="73" spans="1:9">
      <c r="A73" s="1">
        <v>43616</v>
      </c>
      <c r="B73">
        <v>8.4959547005448333E-2</v>
      </c>
      <c r="C73">
        <v>3.4400552164472599E-3</v>
      </c>
      <c r="D73" s="3">
        <v>1891153.7</v>
      </c>
      <c r="E73">
        <f t="shared" si="3"/>
        <v>189.11536999999998</v>
      </c>
      <c r="F73" s="12">
        <v>102.7</v>
      </c>
      <c r="G73" s="6">
        <f t="shared" si="4"/>
        <v>2.7000000000000027E-2</v>
      </c>
      <c r="H73" s="3">
        <v>100.6</v>
      </c>
      <c r="I73">
        <f t="shared" si="5"/>
        <v>5.9999999999999429E-3</v>
      </c>
    </row>
    <row r="74" spans="1:9">
      <c r="A74" s="1">
        <v>43585</v>
      </c>
      <c r="B74">
        <v>8.458765968879739E-2</v>
      </c>
      <c r="C74">
        <v>-2.5096747817021136E-3</v>
      </c>
      <c r="D74" s="3">
        <v>1884670.33</v>
      </c>
      <c r="E74">
        <f t="shared" si="3"/>
        <v>188.46703300000001</v>
      </c>
      <c r="F74" s="12">
        <v>102.7</v>
      </c>
      <c r="G74" s="6">
        <f t="shared" si="4"/>
        <v>2.7000000000000027E-2</v>
      </c>
      <c r="H74" s="3">
        <v>100.9</v>
      </c>
      <c r="I74">
        <f t="shared" si="5"/>
        <v>9.0000000000000566E-3</v>
      </c>
    </row>
    <row r="75" spans="1:9">
      <c r="A75" s="1">
        <v>43555</v>
      </c>
      <c r="B75">
        <v>8.5956746345974971E-2</v>
      </c>
      <c r="C75">
        <v>1.1772714383094211E-2</v>
      </c>
      <c r="D75" s="3">
        <v>1889412.14</v>
      </c>
      <c r="E75">
        <f t="shared" si="3"/>
        <v>188.941214</v>
      </c>
      <c r="F75" s="12">
        <v>102.5</v>
      </c>
      <c r="G75" s="6">
        <f t="shared" si="4"/>
        <v>2.5000000000000001E-2</v>
      </c>
      <c r="H75" s="3">
        <v>100.4</v>
      </c>
      <c r="I75">
        <f t="shared" si="5"/>
        <v>4.0000000000000565E-3</v>
      </c>
    </row>
    <row r="76" spans="1:9">
      <c r="A76" s="1">
        <v>43524</v>
      </c>
      <c r="B76">
        <v>8.0018345352009107E-2</v>
      </c>
      <c r="C76">
        <v>7.996632980843333E-4</v>
      </c>
      <c r="D76" s="3">
        <v>1867427.45</v>
      </c>
      <c r="E76">
        <f t="shared" si="3"/>
        <v>186.74274499999999</v>
      </c>
      <c r="F76" s="12">
        <v>102.3</v>
      </c>
      <c r="G76" s="6">
        <f t="shared" si="4"/>
        <v>2.2999999999999972E-2</v>
      </c>
      <c r="H76" s="3">
        <v>100.1</v>
      </c>
      <c r="I76">
        <f t="shared" si="5"/>
        <v>9.9999999999994321E-4</v>
      </c>
    </row>
    <row r="77" spans="1:9">
      <c r="A77" s="1">
        <v>43496</v>
      </c>
      <c r="B77">
        <v>8.4332665358937131E-2</v>
      </c>
      <c r="C77">
        <v>2.145407636762639E-2</v>
      </c>
      <c r="D77" s="3">
        <v>1865935.33</v>
      </c>
      <c r="E77">
        <f t="shared" si="3"/>
        <v>186.59353300000001</v>
      </c>
      <c r="F77" s="12">
        <v>101.5</v>
      </c>
      <c r="G77" s="6">
        <f t="shared" si="4"/>
        <v>1.4999999999999999E-2</v>
      </c>
      <c r="H77" s="3">
        <v>100.1</v>
      </c>
      <c r="I77">
        <f t="shared" si="5"/>
        <v>9.9999999999994321E-4</v>
      </c>
    </row>
    <row r="78" spans="1:9">
      <c r="A78" s="1">
        <v>43465</v>
      </c>
      <c r="B78">
        <v>8.0763257750188583E-2</v>
      </c>
      <c r="C78">
        <v>7.4836402863182466E-3</v>
      </c>
      <c r="D78" s="3">
        <v>1826744.22</v>
      </c>
      <c r="E78">
        <f t="shared" si="3"/>
        <v>182.67442199999999</v>
      </c>
      <c r="F78" s="12">
        <v>101.7</v>
      </c>
      <c r="G78" s="6">
        <f t="shared" si="4"/>
        <v>1.7000000000000029E-2</v>
      </c>
      <c r="H78" s="3">
        <v>100.9</v>
      </c>
      <c r="I78">
        <f t="shared" si="5"/>
        <v>9.0000000000000566E-3</v>
      </c>
    </row>
    <row r="79" spans="1:9">
      <c r="A79" s="1">
        <v>43434</v>
      </c>
      <c r="B79">
        <v>7.9812941096430515E-2</v>
      </c>
      <c r="C79">
        <v>9.8094490325477957E-3</v>
      </c>
      <c r="D79" s="3">
        <v>1813175.07</v>
      </c>
      <c r="E79">
        <f t="shared" si="3"/>
        <v>181.31750700000001</v>
      </c>
      <c r="F79" s="12">
        <v>101.9</v>
      </c>
      <c r="G79" s="6">
        <f t="shared" si="4"/>
        <v>1.9000000000000059E-2</v>
      </c>
      <c r="H79" s="3">
        <v>102.7</v>
      </c>
      <c r="I79">
        <f t="shared" si="5"/>
        <v>2.7000000000000027E-2</v>
      </c>
    </row>
    <row r="80" spans="1:9">
      <c r="A80" s="1">
        <v>43404</v>
      </c>
      <c r="B80">
        <v>8.0069561913310244E-2</v>
      </c>
      <c r="C80">
        <v>-3.3879650406597552E-3</v>
      </c>
      <c r="D80" s="3">
        <v>1795561.6</v>
      </c>
      <c r="E80">
        <f t="shared" si="3"/>
        <v>179.55616000000001</v>
      </c>
      <c r="F80" s="12">
        <v>102.2</v>
      </c>
      <c r="G80" s="6">
        <f t="shared" si="4"/>
        <v>2.200000000000003E-2</v>
      </c>
      <c r="H80" s="3">
        <v>103.3</v>
      </c>
      <c r="I80">
        <f t="shared" si="5"/>
        <v>3.2999999999999974E-2</v>
      </c>
    </row>
    <row r="81" spans="1:9">
      <c r="A81" s="1">
        <v>43373</v>
      </c>
      <c r="B81">
        <v>8.2949056993739834E-2</v>
      </c>
      <c r="C81">
        <v>7.2652567974750611E-3</v>
      </c>
      <c r="D81" s="3">
        <v>1801665.58</v>
      </c>
      <c r="E81">
        <f t="shared" si="3"/>
        <v>180.16655800000001</v>
      </c>
      <c r="F81" s="12">
        <v>102.5</v>
      </c>
      <c r="G81" s="6">
        <f t="shared" si="4"/>
        <v>2.5000000000000001E-2</v>
      </c>
      <c r="H81" s="3">
        <v>103.6</v>
      </c>
      <c r="I81">
        <f t="shared" si="5"/>
        <v>3.5999999999999942E-2</v>
      </c>
    </row>
    <row r="82" spans="1:9">
      <c r="A82" s="1">
        <v>43343</v>
      </c>
      <c r="B82">
        <v>8.2109774461653975E-2</v>
      </c>
      <c r="C82">
        <v>7.0230533271463088E-3</v>
      </c>
      <c r="D82" s="3">
        <v>1788670.43</v>
      </c>
      <c r="E82">
        <f t="shared" si="3"/>
        <v>178.867043</v>
      </c>
      <c r="F82" s="12">
        <v>102.5</v>
      </c>
      <c r="G82" s="6">
        <f t="shared" si="4"/>
        <v>2.5000000000000001E-2</v>
      </c>
      <c r="H82" s="3">
        <v>104.1</v>
      </c>
      <c r="I82">
        <f t="shared" si="5"/>
        <v>4.0999999999999946E-2</v>
      </c>
    </row>
    <row r="83" spans="1:9">
      <c r="A83" s="1">
        <v>43312</v>
      </c>
      <c r="B83">
        <v>8.54681210080947E-2</v>
      </c>
      <c r="C83">
        <v>3.3995105250325653E-3</v>
      </c>
      <c r="D83" s="3">
        <v>1776196.11</v>
      </c>
      <c r="E83">
        <f t="shared" si="3"/>
        <v>177.61961100000002</v>
      </c>
      <c r="F83" s="12">
        <v>102.3</v>
      </c>
      <c r="G83" s="6">
        <f t="shared" si="4"/>
        <v>2.2999999999999972E-2</v>
      </c>
      <c r="H83" s="3">
        <v>104.6</v>
      </c>
      <c r="I83">
        <f t="shared" si="5"/>
        <v>4.5999999999999944E-2</v>
      </c>
    </row>
    <row r="84" spans="1:9">
      <c r="A84" s="1">
        <v>43281</v>
      </c>
      <c r="B84">
        <v>7.9708176358109367E-2</v>
      </c>
      <c r="C84">
        <v>1.5555701492714775E-2</v>
      </c>
      <c r="D84" s="3">
        <v>1770178.37</v>
      </c>
      <c r="E84">
        <f t="shared" si="3"/>
        <v>177.01783700000001</v>
      </c>
      <c r="F84" s="12">
        <v>102.1</v>
      </c>
      <c r="G84" s="6">
        <f t="shared" si="4"/>
        <v>2.0999999999999942E-2</v>
      </c>
      <c r="H84" s="3">
        <v>104.7</v>
      </c>
      <c r="I84">
        <f t="shared" si="5"/>
        <v>4.7000000000000028E-2</v>
      </c>
    </row>
    <row r="85" spans="1:9">
      <c r="A85" s="1">
        <v>43251</v>
      </c>
      <c r="B85">
        <v>8.2822664670411508E-2</v>
      </c>
      <c r="C85">
        <v>3.096110015370896E-3</v>
      </c>
      <c r="D85" s="3">
        <v>1743063.79</v>
      </c>
      <c r="E85">
        <f t="shared" si="3"/>
        <v>174.30637899999999</v>
      </c>
      <c r="F85" s="12">
        <v>101.9</v>
      </c>
      <c r="G85" s="6">
        <f t="shared" si="4"/>
        <v>1.9000000000000059E-2</v>
      </c>
      <c r="H85" s="3">
        <v>104.1</v>
      </c>
      <c r="I85">
        <f t="shared" si="5"/>
        <v>4.0999999999999946E-2</v>
      </c>
    </row>
    <row r="86" spans="1:9">
      <c r="A86" s="1">
        <v>43220</v>
      </c>
      <c r="B86">
        <v>8.3398789679407906E-2</v>
      </c>
      <c r="C86">
        <v>-1.2505320257242844E-3</v>
      </c>
      <c r="D86" s="3">
        <v>1737683.73</v>
      </c>
      <c r="E86">
        <f t="shared" si="3"/>
        <v>173.768373</v>
      </c>
      <c r="F86" s="12">
        <v>101.8</v>
      </c>
      <c r="G86" s="6">
        <f t="shared" si="4"/>
        <v>1.7999999999999971E-2</v>
      </c>
      <c r="H86" s="3">
        <v>103.4</v>
      </c>
      <c r="I86">
        <f t="shared" si="5"/>
        <v>3.4000000000000058E-2</v>
      </c>
    </row>
    <row r="87" spans="1:9">
      <c r="A87" s="1">
        <v>43190</v>
      </c>
      <c r="B87">
        <v>8.204322529701967E-2</v>
      </c>
      <c r="C87">
        <v>6.2399782838187439E-3</v>
      </c>
      <c r="D87" s="3">
        <v>1739859.48</v>
      </c>
      <c r="E87">
        <f t="shared" si="3"/>
        <v>173.98594800000001</v>
      </c>
      <c r="F87" s="12">
        <v>101.8</v>
      </c>
      <c r="G87" s="6">
        <f t="shared" si="4"/>
        <v>1.7999999999999971E-2</v>
      </c>
      <c r="H87" s="3">
        <v>103.1</v>
      </c>
      <c r="I87">
        <f t="shared" si="5"/>
        <v>3.0999999999999944E-2</v>
      </c>
    </row>
    <row r="88" spans="1:9">
      <c r="A88" s="1">
        <v>43159</v>
      </c>
      <c r="B88">
        <v>8.7563296573213892E-2</v>
      </c>
      <c r="C88">
        <v>4.7975305832798206E-3</v>
      </c>
      <c r="D88" s="3">
        <v>1729070.12</v>
      </c>
      <c r="E88">
        <f t="shared" si="3"/>
        <v>172.90701200000001</v>
      </c>
      <c r="F88" s="12">
        <v>102.1</v>
      </c>
      <c r="G88" s="6">
        <f t="shared" si="4"/>
        <v>2.0999999999999942E-2</v>
      </c>
      <c r="H88" s="3">
        <v>103.7</v>
      </c>
      <c r="I88">
        <f t="shared" si="5"/>
        <v>3.7000000000000026E-2</v>
      </c>
    </row>
    <row r="89" spans="1:9">
      <c r="A89" s="1">
        <v>43131</v>
      </c>
      <c r="B89">
        <v>8.6239344238121796E-2</v>
      </c>
      <c r="C89">
        <v>1.8091652575877085E-2</v>
      </c>
      <c r="D89" s="3">
        <v>1720814.46</v>
      </c>
      <c r="E89">
        <f t="shared" si="3"/>
        <v>172.081446</v>
      </c>
      <c r="F89" s="12">
        <v>102.9</v>
      </c>
      <c r="G89" s="6">
        <f t="shared" si="4"/>
        <v>2.9000000000000057E-2</v>
      </c>
      <c r="H89" s="3">
        <v>104.3</v>
      </c>
      <c r="I89">
        <f t="shared" si="5"/>
        <v>4.2999999999999969E-2</v>
      </c>
    </row>
    <row r="90" spans="1:9">
      <c r="A90" s="1">
        <v>43100</v>
      </c>
      <c r="B90">
        <v>9.0427491096237905E-2</v>
      </c>
      <c r="C90">
        <v>6.5977585033401998E-3</v>
      </c>
      <c r="D90" s="3">
        <v>1690235.31</v>
      </c>
      <c r="E90">
        <f t="shared" si="3"/>
        <v>169.02353100000002</v>
      </c>
      <c r="F90" s="12">
        <v>101.5</v>
      </c>
      <c r="G90" s="6">
        <f t="shared" si="4"/>
        <v>1.4999999999999999E-2</v>
      </c>
      <c r="H90" s="3">
        <v>104.9</v>
      </c>
      <c r="I90">
        <f t="shared" si="5"/>
        <v>4.9000000000000057E-2</v>
      </c>
    </row>
    <row r="91" spans="1:9">
      <c r="A91" s="1">
        <v>43069</v>
      </c>
      <c r="B91">
        <v>9.7178165491384069E-2</v>
      </c>
      <c r="C91">
        <v>1.004943330745422E-2</v>
      </c>
      <c r="D91" s="3">
        <v>1679156.64</v>
      </c>
      <c r="E91">
        <f t="shared" si="3"/>
        <v>167.91566399999999</v>
      </c>
      <c r="F91" s="12">
        <v>101.8</v>
      </c>
      <c r="G91" s="6">
        <f t="shared" si="4"/>
        <v>1.7999999999999971E-2</v>
      </c>
      <c r="H91" s="3">
        <v>105.8</v>
      </c>
      <c r="I91">
        <f t="shared" si="5"/>
        <v>5.7999999999999968E-2</v>
      </c>
    </row>
    <row r="92" spans="1:9">
      <c r="A92" s="1">
        <v>43039</v>
      </c>
      <c r="B92">
        <v>9.4087485144641769E-2</v>
      </c>
      <c r="C92">
        <v>-7.3097001648863593E-4</v>
      </c>
      <c r="D92" s="3">
        <v>1662449.96</v>
      </c>
      <c r="E92">
        <f t="shared" si="3"/>
        <v>166.24499599999999</v>
      </c>
      <c r="F92" s="12">
        <v>101.7</v>
      </c>
      <c r="G92" s="6">
        <f t="shared" si="4"/>
        <v>1.7000000000000029E-2</v>
      </c>
      <c r="H92" s="3">
        <v>106.9</v>
      </c>
      <c r="I92">
        <f t="shared" si="5"/>
        <v>6.9000000000000061E-2</v>
      </c>
    </row>
    <row r="93" spans="1:9">
      <c r="A93" s="1">
        <v>43008</v>
      </c>
      <c r="B93">
        <v>9.7144148769372482E-2</v>
      </c>
      <c r="C93">
        <v>6.4846290017836622E-3</v>
      </c>
      <c r="D93" s="3">
        <v>1663666.05</v>
      </c>
      <c r="E93">
        <f t="shared" si="3"/>
        <v>166.36660499999999</v>
      </c>
      <c r="F93" s="12">
        <v>101.9</v>
      </c>
      <c r="G93" s="6">
        <f t="shared" si="4"/>
        <v>1.9000000000000059E-2</v>
      </c>
      <c r="H93" s="3">
        <v>106.9</v>
      </c>
      <c r="I93">
        <f t="shared" si="5"/>
        <v>6.9000000000000061E-2</v>
      </c>
    </row>
    <row r="94" spans="1:9">
      <c r="A94" s="1">
        <v>42978</v>
      </c>
      <c r="B94">
        <v>9.395499383907667E-2</v>
      </c>
      <c r="C94">
        <v>1.0148366925768884E-2</v>
      </c>
      <c r="D94" s="3">
        <v>1652947.3</v>
      </c>
      <c r="E94">
        <f t="shared" si="3"/>
        <v>165.29473000000002</v>
      </c>
      <c r="F94" s="12">
        <v>101.6</v>
      </c>
      <c r="G94" s="6">
        <f t="shared" si="4"/>
        <v>1.5999999999999945E-2</v>
      </c>
      <c r="H94" s="3">
        <v>106.3</v>
      </c>
      <c r="I94">
        <f t="shared" si="5"/>
        <v>6.2999999999999973E-2</v>
      </c>
    </row>
    <row r="95" spans="1:9">
      <c r="A95" s="1">
        <v>42947</v>
      </c>
      <c r="B95">
        <v>9.7067844570008027E-2</v>
      </c>
      <c r="C95">
        <v>-1.924943994257229E-3</v>
      </c>
      <c r="D95" s="3">
        <v>1636341.11</v>
      </c>
      <c r="E95">
        <f t="shared" si="3"/>
        <v>163.63411100000002</v>
      </c>
      <c r="F95" s="12">
        <v>101.8</v>
      </c>
      <c r="G95" s="6">
        <f t="shared" si="4"/>
        <v>1.7999999999999971E-2</v>
      </c>
      <c r="H95" s="3">
        <v>105.5</v>
      </c>
      <c r="I95">
        <f t="shared" si="5"/>
        <v>5.5E-2</v>
      </c>
    </row>
    <row r="96" spans="1:9">
      <c r="A96" s="1">
        <v>42916</v>
      </c>
      <c r="B96">
        <v>9.9970504367004789E-2</v>
      </c>
      <c r="C96">
        <v>1.8485137827502517E-2</v>
      </c>
      <c r="D96" s="3">
        <v>1639497.05</v>
      </c>
      <c r="E96">
        <f t="shared" si="3"/>
        <v>163.94970499999999</v>
      </c>
      <c r="F96" s="12">
        <v>101.4</v>
      </c>
      <c r="G96" s="6">
        <f t="shared" si="4"/>
        <v>1.4000000000000058E-2</v>
      </c>
      <c r="H96" s="3">
        <v>105.5</v>
      </c>
      <c r="I96">
        <f t="shared" si="5"/>
        <v>5.5E-2</v>
      </c>
    </row>
    <row r="97" spans="1:9">
      <c r="A97" s="1">
        <v>42886</v>
      </c>
      <c r="B97">
        <v>0.10128354332388777</v>
      </c>
      <c r="C97">
        <v>3.6298158328260141E-3</v>
      </c>
      <c r="D97" s="3">
        <v>1609740.77</v>
      </c>
      <c r="E97">
        <f t="shared" si="3"/>
        <v>160.97407699999999</v>
      </c>
      <c r="F97" s="12">
        <v>101.5</v>
      </c>
      <c r="G97" s="6">
        <f t="shared" si="4"/>
        <v>1.4999999999999999E-2</v>
      </c>
      <c r="H97" s="3">
        <v>105.5</v>
      </c>
      <c r="I97">
        <f t="shared" si="5"/>
        <v>5.5E-2</v>
      </c>
    </row>
    <row r="98" spans="1:9">
      <c r="A98" s="1">
        <v>42855</v>
      </c>
      <c r="B98">
        <v>0.10981746253150727</v>
      </c>
      <c r="C98">
        <v>-2.5001819409837915E-3</v>
      </c>
      <c r="D98" s="3">
        <v>1603918.84</v>
      </c>
      <c r="E98">
        <f t="shared" si="3"/>
        <v>160.391884</v>
      </c>
      <c r="F98" s="12">
        <v>101.5</v>
      </c>
      <c r="G98" s="6">
        <f t="shared" si="4"/>
        <v>1.4999999999999999E-2</v>
      </c>
      <c r="H98" s="3">
        <v>106.4</v>
      </c>
      <c r="I98">
        <f t="shared" si="5"/>
        <v>6.4000000000000057E-2</v>
      </c>
    </row>
    <row r="99" spans="1:9">
      <c r="A99" s="1">
        <v>42825</v>
      </c>
      <c r="B99">
        <v>0.11183872930597198</v>
      </c>
      <c r="C99">
        <v>1.13733373504661E-2</v>
      </c>
      <c r="D99" s="3">
        <v>1607938.98</v>
      </c>
      <c r="E99">
        <f t="shared" si="3"/>
        <v>160.79389799999998</v>
      </c>
      <c r="F99" s="12">
        <v>101.2</v>
      </c>
      <c r="G99" s="6">
        <f t="shared" si="4"/>
        <v>1.2000000000000028E-2</v>
      </c>
      <c r="H99" s="3">
        <v>107.6</v>
      </c>
      <c r="I99">
        <f t="shared" si="5"/>
        <v>7.5999999999999943E-2</v>
      </c>
    </row>
    <row r="100" spans="1:9">
      <c r="A100" s="1">
        <v>42794</v>
      </c>
      <c r="B100">
        <v>0.11598775329830721</v>
      </c>
      <c r="C100">
        <v>3.5743336980023112E-3</v>
      </c>
      <c r="D100" s="3">
        <v>1589857</v>
      </c>
      <c r="E100">
        <f t="shared" si="3"/>
        <v>158.98570000000001</v>
      </c>
      <c r="F100" s="12">
        <v>100.9</v>
      </c>
      <c r="G100" s="6">
        <f t="shared" si="4"/>
        <v>9.0000000000000566E-3</v>
      </c>
      <c r="H100" s="3">
        <v>107.8</v>
      </c>
      <c r="I100">
        <f t="shared" si="5"/>
        <v>7.7999999999999972E-2</v>
      </c>
    </row>
    <row r="101" spans="1:9">
      <c r="A101" s="1">
        <v>42766</v>
      </c>
      <c r="B101">
        <v>0.11852904946486123</v>
      </c>
      <c r="C101">
        <v>2.2017046531295412E-2</v>
      </c>
      <c r="D101" s="3">
        <v>1584194.5600000001</v>
      </c>
      <c r="E101">
        <f t="shared" si="3"/>
        <v>158.419456</v>
      </c>
      <c r="F101" s="12">
        <v>100.8</v>
      </c>
      <c r="G101" s="6">
        <f t="shared" si="4"/>
        <v>7.9999999999999724E-3</v>
      </c>
      <c r="H101" s="3">
        <v>106.9</v>
      </c>
      <c r="I101">
        <f t="shared" si="5"/>
        <v>6.9000000000000061E-2</v>
      </c>
    </row>
    <row r="102" spans="1:9">
      <c r="A102" s="1">
        <v>42735</v>
      </c>
      <c r="B102">
        <v>0.11333120794379208</v>
      </c>
      <c r="C102">
        <v>1.2829455493764205E-2</v>
      </c>
      <c r="D102" s="3">
        <v>1550066.67</v>
      </c>
      <c r="E102">
        <f t="shared" si="3"/>
        <v>155.00666699999999</v>
      </c>
      <c r="F102" s="12">
        <v>102.5</v>
      </c>
      <c r="G102" s="6">
        <f t="shared" si="4"/>
        <v>2.5000000000000001E-2</v>
      </c>
      <c r="H102" s="3">
        <v>105.5</v>
      </c>
      <c r="I102">
        <f t="shared" si="5"/>
        <v>5.5E-2</v>
      </c>
    </row>
    <row r="103" spans="1:9">
      <c r="A103" s="1">
        <v>42704</v>
      </c>
      <c r="B103">
        <v>0.11388723427906548</v>
      </c>
      <c r="C103">
        <v>7.2041889971434731E-3</v>
      </c>
      <c r="D103" s="3">
        <v>1530432.06</v>
      </c>
      <c r="E103">
        <f t="shared" si="3"/>
        <v>153.043206</v>
      </c>
      <c r="F103" s="12">
        <v>102.1</v>
      </c>
      <c r="G103" s="6">
        <f t="shared" si="4"/>
        <v>2.0999999999999942E-2</v>
      </c>
      <c r="H103" s="3">
        <v>103.3</v>
      </c>
      <c r="I103">
        <f t="shared" si="5"/>
        <v>3.2999999999999974E-2</v>
      </c>
    </row>
    <row r="104" spans="1:9">
      <c r="A104" s="1">
        <v>42674</v>
      </c>
      <c r="B104">
        <v>0.11643077875303437</v>
      </c>
      <c r="C104">
        <v>2.0607896341271795E-3</v>
      </c>
      <c r="D104" s="3">
        <v>1519485.4</v>
      </c>
      <c r="E104">
        <f t="shared" si="3"/>
        <v>151.94853999999998</v>
      </c>
      <c r="F104" s="12">
        <v>102.3</v>
      </c>
      <c r="G104" s="6">
        <f t="shared" si="4"/>
        <v>2.2999999999999972E-2</v>
      </c>
      <c r="H104" s="3">
        <v>101.2</v>
      </c>
      <c r="I104">
        <f t="shared" si="5"/>
        <v>1.2000000000000028E-2</v>
      </c>
    </row>
    <row r="105" spans="1:9">
      <c r="A105" s="1">
        <v>42643</v>
      </c>
      <c r="B105">
        <v>0.1151152157140093</v>
      </c>
      <c r="C105">
        <v>3.5590012067046369E-3</v>
      </c>
      <c r="D105" s="3">
        <v>1516360.5</v>
      </c>
      <c r="E105">
        <f t="shared" si="3"/>
        <v>151.63605000000001</v>
      </c>
      <c r="F105" s="12">
        <v>102.1</v>
      </c>
      <c r="G105" s="6">
        <f t="shared" si="4"/>
        <v>2.0999999999999942E-2</v>
      </c>
      <c r="H105" s="3">
        <v>100.1</v>
      </c>
      <c r="I105">
        <f t="shared" si="5"/>
        <v>9.9999999999994321E-4</v>
      </c>
    </row>
    <row r="106" spans="1:9">
      <c r="A106" s="1">
        <v>42613</v>
      </c>
      <c r="B106">
        <v>0.11354854733774941</v>
      </c>
      <c r="C106">
        <v>1.3022745762231837E-2</v>
      </c>
      <c r="D106" s="3">
        <v>1510982.91</v>
      </c>
      <c r="E106">
        <f t="shared" si="3"/>
        <v>151.09829099999999</v>
      </c>
      <c r="F106" s="12">
        <v>101.9</v>
      </c>
      <c r="G106" s="6">
        <f t="shared" si="4"/>
        <v>1.9000000000000059E-2</v>
      </c>
      <c r="H106" s="3">
        <v>99.2</v>
      </c>
      <c r="I106">
        <f t="shared" si="5"/>
        <v>-7.9999999999999724E-3</v>
      </c>
    </row>
    <row r="107" spans="1:9">
      <c r="A107" s="1">
        <v>42582</v>
      </c>
      <c r="B107">
        <v>0.10223668605925827</v>
      </c>
      <c r="C107">
        <v>7.1579728149190694E-4</v>
      </c>
      <c r="D107" s="3">
        <v>1491558.72</v>
      </c>
      <c r="E107">
        <f t="shared" si="3"/>
        <v>149.15587199999999</v>
      </c>
      <c r="F107" s="12">
        <v>101.3</v>
      </c>
      <c r="G107" s="6">
        <f t="shared" si="4"/>
        <v>1.2999999999999972E-2</v>
      </c>
      <c r="H107" s="3">
        <v>98.3</v>
      </c>
      <c r="I107">
        <f t="shared" si="5"/>
        <v>-1.7000000000000029E-2</v>
      </c>
    </row>
    <row r="108" spans="1:9">
      <c r="A108" s="1">
        <v>42551</v>
      </c>
      <c r="B108">
        <v>0.11783363838371812</v>
      </c>
      <c r="C108">
        <v>1.970090739374504E-2</v>
      </c>
      <c r="D108" s="3">
        <v>1490491.83</v>
      </c>
      <c r="E108">
        <f t="shared" si="3"/>
        <v>149.049183</v>
      </c>
      <c r="F108" s="12">
        <v>101.8</v>
      </c>
      <c r="G108" s="6">
        <f t="shared" si="4"/>
        <v>1.7999999999999971E-2</v>
      </c>
      <c r="H108" s="3">
        <v>97.4</v>
      </c>
      <c r="I108">
        <f t="shared" si="5"/>
        <v>-2.5999999999999943E-2</v>
      </c>
    </row>
    <row r="109" spans="1:9">
      <c r="A109" s="1">
        <v>42521</v>
      </c>
      <c r="B109">
        <v>0.11805299212580435</v>
      </c>
      <c r="C109">
        <v>1.1407009830318119E-2</v>
      </c>
      <c r="D109" s="3">
        <v>1461695.11</v>
      </c>
      <c r="E109">
        <f t="shared" si="3"/>
        <v>146.169511</v>
      </c>
      <c r="F109" s="12">
        <v>101.9</v>
      </c>
      <c r="G109" s="6">
        <f t="shared" si="4"/>
        <v>1.9000000000000059E-2</v>
      </c>
      <c r="H109" s="3">
        <v>97.2</v>
      </c>
      <c r="I109">
        <f t="shared" si="5"/>
        <v>-2.7999999999999973E-2</v>
      </c>
    </row>
    <row r="110" spans="1:9">
      <c r="A110" s="1">
        <v>42490</v>
      </c>
      <c r="B110">
        <v>0.12838314184286309</v>
      </c>
      <c r="C110">
        <v>-6.8347486270600439E-4</v>
      </c>
      <c r="D110" s="3">
        <v>1445209.59</v>
      </c>
      <c r="E110">
        <f t="shared" si="3"/>
        <v>144.520959</v>
      </c>
      <c r="F110" s="12">
        <v>102</v>
      </c>
      <c r="G110" s="6">
        <f t="shared" si="4"/>
        <v>0.02</v>
      </c>
      <c r="H110" s="3">
        <v>96.6</v>
      </c>
      <c r="I110">
        <f t="shared" si="5"/>
        <v>-3.4000000000000058E-2</v>
      </c>
    </row>
    <row r="111" spans="1:9">
      <c r="A111" s="1">
        <v>42460</v>
      </c>
      <c r="B111">
        <v>0.13397699226393286</v>
      </c>
      <c r="C111">
        <v>1.5147456861930305E-2</v>
      </c>
      <c r="D111" s="3">
        <v>1446198.03</v>
      </c>
      <c r="E111">
        <f t="shared" si="3"/>
        <v>144.61980299999999</v>
      </c>
      <c r="F111" s="12">
        <v>102.3</v>
      </c>
      <c r="G111" s="6">
        <f t="shared" si="4"/>
        <v>2.2999999999999972E-2</v>
      </c>
      <c r="H111" s="3">
        <v>95.7</v>
      </c>
      <c r="I111">
        <f t="shared" si="5"/>
        <v>-4.2999999999999969E-2</v>
      </c>
    </row>
    <row r="112" spans="1:9">
      <c r="A112" s="1">
        <v>42429</v>
      </c>
      <c r="B112">
        <v>0.13300524595387384</v>
      </c>
      <c r="C112">
        <v>5.8596451627034932E-3</v>
      </c>
      <c r="D112" s="3">
        <v>1424618.68</v>
      </c>
      <c r="E112">
        <f t="shared" si="3"/>
        <v>142.46186799999998</v>
      </c>
      <c r="F112" s="12">
        <v>102.3</v>
      </c>
      <c r="G112" s="6">
        <f t="shared" si="4"/>
        <v>2.2999999999999972E-2</v>
      </c>
      <c r="H112" s="3">
        <v>95.1</v>
      </c>
      <c r="I112">
        <f t="shared" si="5"/>
        <v>-4.9000000000000057E-2</v>
      </c>
    </row>
    <row r="113" spans="1:9">
      <c r="A113" s="1">
        <v>42400</v>
      </c>
      <c r="B113">
        <v>0.13970218254099501</v>
      </c>
      <c r="C113">
        <v>1.7267699482828143E-2</v>
      </c>
      <c r="D113" s="3">
        <v>1416319.55</v>
      </c>
      <c r="E113">
        <f t="shared" si="3"/>
        <v>141.631955</v>
      </c>
      <c r="F113" s="12">
        <v>102.3</v>
      </c>
      <c r="G113" s="6">
        <f t="shared" si="4"/>
        <v>2.2999999999999972E-2</v>
      </c>
      <c r="H113" s="3">
        <v>94.7</v>
      </c>
      <c r="I113">
        <f t="shared" si="5"/>
        <v>-5.2999999999999971E-2</v>
      </c>
    </row>
    <row r="114" spans="1:9">
      <c r="A114" s="1">
        <v>42369</v>
      </c>
      <c r="B114">
        <v>0.13343101687342485</v>
      </c>
      <c r="C114">
        <v>1.3335288660369914E-2</v>
      </c>
      <c r="D114" s="3">
        <v>1392278.11</v>
      </c>
      <c r="E114">
        <f t="shared" si="3"/>
        <v>139.227811</v>
      </c>
      <c r="F114" s="12">
        <v>101.8</v>
      </c>
      <c r="G114" s="6">
        <f t="shared" si="4"/>
        <v>1.7999999999999971E-2</v>
      </c>
      <c r="H114" s="3">
        <v>94.1</v>
      </c>
      <c r="I114">
        <f t="shared" si="5"/>
        <v>-5.9000000000000059E-2</v>
      </c>
    </row>
    <row r="115" spans="1:9">
      <c r="A115" s="1">
        <v>42338</v>
      </c>
      <c r="B115">
        <v>0.13681056261554897</v>
      </c>
      <c r="C115">
        <v>9.5041243678366215E-3</v>
      </c>
      <c r="D115" s="3">
        <v>1373956.01</v>
      </c>
      <c r="E115">
        <f t="shared" si="3"/>
        <v>137.395601</v>
      </c>
      <c r="G115" s="6"/>
      <c r="H115" s="3">
        <v>94.1</v>
      </c>
      <c r="I115">
        <f t="shared" si="5"/>
        <v>-5.9000000000000059E-2</v>
      </c>
    </row>
    <row r="116" spans="1:9">
      <c r="A116" s="1">
        <v>42308</v>
      </c>
      <c r="B116">
        <v>0.13490618041743574</v>
      </c>
      <c r="C116">
        <v>8.7999619597839559E-4</v>
      </c>
      <c r="D116" s="3">
        <v>1361020.7</v>
      </c>
      <c r="E116">
        <f t="shared" si="3"/>
        <v>136.10207</v>
      </c>
      <c r="G116" s="6"/>
      <c r="H116" s="3">
        <v>94.1</v>
      </c>
      <c r="I116">
        <f t="shared" si="5"/>
        <v>-5.9000000000000059E-2</v>
      </c>
    </row>
    <row r="117" spans="1:9">
      <c r="A117" s="1">
        <v>42277</v>
      </c>
      <c r="B117">
        <v>0.13125283052577605</v>
      </c>
      <c r="C117">
        <v>2.1490624589001789E-3</v>
      </c>
      <c r="D117" s="3">
        <v>1359824.06</v>
      </c>
      <c r="E117">
        <f t="shared" si="3"/>
        <v>135.982406</v>
      </c>
      <c r="G117" s="6"/>
      <c r="H117" s="3">
        <v>94.1</v>
      </c>
      <c r="I117">
        <f t="shared" si="5"/>
        <v>-5.9000000000000059E-2</v>
      </c>
    </row>
    <row r="118" spans="1:9">
      <c r="A118" s="1">
        <v>42247</v>
      </c>
      <c r="B118">
        <v>0.13311818160227723</v>
      </c>
      <c r="C118">
        <v>2.7320648580045868E-3</v>
      </c>
      <c r="D118" s="3">
        <v>1356907.98</v>
      </c>
      <c r="E118">
        <f t="shared" si="3"/>
        <v>135.690798</v>
      </c>
      <c r="G118" s="6"/>
      <c r="H118" s="3">
        <v>94.1</v>
      </c>
      <c r="I118">
        <f t="shared" si="5"/>
        <v>-5.9000000000000059E-2</v>
      </c>
    </row>
    <row r="119" spans="1:9">
      <c r="A119" s="1">
        <v>42216</v>
      </c>
      <c r="B119">
        <v>0.13310595031234848</v>
      </c>
      <c r="C119">
        <v>1.4876201102141128E-2</v>
      </c>
      <c r="D119" s="3">
        <v>1353210.92</v>
      </c>
      <c r="E119">
        <f t="shared" si="3"/>
        <v>135.32109199999999</v>
      </c>
      <c r="G119" s="6"/>
      <c r="H119" s="3">
        <v>94.6</v>
      </c>
      <c r="I119">
        <f t="shared" si="5"/>
        <v>-5.4000000000000055E-2</v>
      </c>
    </row>
    <row r="120" spans="1:9">
      <c r="A120" s="1">
        <v>42185</v>
      </c>
      <c r="B120">
        <v>0.10233917819236195</v>
      </c>
      <c r="C120">
        <v>1.9901004440537221E-2</v>
      </c>
      <c r="D120" s="3">
        <v>1333375.3600000001</v>
      </c>
      <c r="E120">
        <f t="shared" si="3"/>
        <v>133.337536</v>
      </c>
      <c r="G120" s="6"/>
      <c r="H120" s="3">
        <v>95.2</v>
      </c>
      <c r="I120">
        <f t="shared" si="5"/>
        <v>-4.7999999999999973E-2</v>
      </c>
    </row>
    <row r="121" spans="1:9">
      <c r="A121" s="1">
        <v>42155</v>
      </c>
      <c r="B121">
        <v>0.10578052010009417</v>
      </c>
      <c r="C121">
        <v>2.0751813618700873E-2</v>
      </c>
      <c r="D121" s="3">
        <v>1307357.6299999999</v>
      </c>
      <c r="E121">
        <f t="shared" si="3"/>
        <v>130.73576299999999</v>
      </c>
      <c r="G121" s="6"/>
      <c r="H121" s="3">
        <v>95.4</v>
      </c>
      <c r="I121">
        <f t="shared" si="5"/>
        <v>-4.5999999999999944E-2</v>
      </c>
    </row>
    <row r="122" spans="1:9">
      <c r="A122" s="1">
        <v>42124</v>
      </c>
      <c r="B122">
        <v>9.5795051571437861E-2</v>
      </c>
      <c r="C122">
        <v>4.2705402742018988E-3</v>
      </c>
      <c r="D122" s="3">
        <v>1280779.1399999999</v>
      </c>
      <c r="E122">
        <f t="shared" si="3"/>
        <v>128.07791399999999</v>
      </c>
      <c r="G122" s="6"/>
      <c r="H122" s="3">
        <v>95.4</v>
      </c>
      <c r="I122">
        <f t="shared" si="5"/>
        <v>-4.5999999999999944E-2</v>
      </c>
    </row>
    <row r="123" spans="1:9">
      <c r="A123" s="1">
        <v>42094</v>
      </c>
      <c r="B123">
        <v>9.8773711143477883E-2</v>
      </c>
      <c r="C123">
        <v>1.4277539921726833E-2</v>
      </c>
      <c r="D123" s="3">
        <v>1275332.78</v>
      </c>
      <c r="E123">
        <f t="shared" si="3"/>
        <v>127.533278</v>
      </c>
      <c r="G123" s="6"/>
      <c r="H123" s="3">
        <v>95.4</v>
      </c>
      <c r="I123">
        <f t="shared" si="5"/>
        <v>-4.5999999999999944E-2</v>
      </c>
    </row>
    <row r="124" spans="1:9">
      <c r="A124" s="1">
        <v>42063</v>
      </c>
      <c r="B124">
        <v>0.11099487336030166</v>
      </c>
      <c r="C124">
        <v>1.1805052991356271E-2</v>
      </c>
      <c r="D124" s="3">
        <v>1257380.48</v>
      </c>
      <c r="E124">
        <f t="shared" si="3"/>
        <v>125.73804799999999</v>
      </c>
      <c r="G124" s="6"/>
      <c r="H124" s="3">
        <v>95.2</v>
      </c>
      <c r="I124">
        <f t="shared" si="5"/>
        <v>-4.7999999999999973E-2</v>
      </c>
    </row>
    <row r="125" spans="1:9">
      <c r="A125" s="1">
        <v>42035</v>
      </c>
      <c r="B125">
        <v>0.10608523358450885</v>
      </c>
      <c r="C125">
        <v>1.1670224660500744E-2</v>
      </c>
      <c r="D125" s="3">
        <v>1242710.22</v>
      </c>
      <c r="E125">
        <f t="shared" si="3"/>
        <v>124.271022</v>
      </c>
      <c r="G125" s="6"/>
      <c r="H125" s="3">
        <v>95.7</v>
      </c>
      <c r="I125">
        <f t="shared" si="5"/>
        <v>-4.2999999999999969E-2</v>
      </c>
    </row>
    <row r="126" spans="1:9">
      <c r="A126" s="1">
        <v>42004</v>
      </c>
      <c r="B126">
        <v>0.11011936666807114</v>
      </c>
      <c r="C126">
        <v>1.6356745554661635E-2</v>
      </c>
      <c r="D126" s="3">
        <v>1228374.81</v>
      </c>
      <c r="E126">
        <f t="shared" si="3"/>
        <v>122.83748100000001</v>
      </c>
      <c r="G126" s="6"/>
      <c r="H126" s="3">
        <v>96.7</v>
      </c>
      <c r="I126">
        <f t="shared" si="5"/>
        <v>-3.2999999999999974E-2</v>
      </c>
    </row>
    <row r="127" spans="1:9">
      <c r="A127" s="1">
        <v>41973</v>
      </c>
      <c r="B127">
        <v>0.11984993639976735</v>
      </c>
      <c r="C127">
        <v>7.8130055952024147E-3</v>
      </c>
      <c r="D127" s="3">
        <v>1208605.95</v>
      </c>
      <c r="E127">
        <f t="shared" si="3"/>
        <v>120.86059499999999</v>
      </c>
      <c r="G127" s="6"/>
      <c r="H127" s="3">
        <v>97.3</v>
      </c>
      <c r="I127">
        <f t="shared" si="5"/>
        <v>-2.7000000000000027E-2</v>
      </c>
    </row>
    <row r="128" spans="1:9">
      <c r="A128" s="1">
        <v>41943</v>
      </c>
      <c r="B128">
        <v>0.12052799227673877</v>
      </c>
      <c r="C128">
        <v>-2.3419131466264494E-3</v>
      </c>
      <c r="D128" s="3">
        <v>1199236.31</v>
      </c>
      <c r="E128">
        <f t="shared" si="3"/>
        <v>119.923631</v>
      </c>
      <c r="G128" s="6"/>
      <c r="H128" s="3">
        <v>97.8</v>
      </c>
      <c r="I128">
        <f t="shared" si="5"/>
        <v>-2.200000000000003E-2</v>
      </c>
    </row>
    <row r="129" spans="1:9">
      <c r="A129" s="1">
        <v>41912</v>
      </c>
      <c r="B129">
        <v>0.11571808201673403</v>
      </c>
      <c r="C129">
        <v>3.8015311043076887E-3</v>
      </c>
      <c r="D129" s="3">
        <v>1202051.4099999999</v>
      </c>
      <c r="E129">
        <f t="shared" si="3"/>
        <v>120.205141</v>
      </c>
      <c r="G129" s="6"/>
      <c r="H129" s="3">
        <v>98.2</v>
      </c>
      <c r="I129">
        <f t="shared" si="5"/>
        <v>-1.7999999999999971E-2</v>
      </c>
    </row>
    <row r="130" spans="1:9">
      <c r="A130" s="1">
        <v>41882</v>
      </c>
      <c r="B130">
        <v>0.12837863323947082</v>
      </c>
      <c r="C130">
        <v>2.7212410032599926E-3</v>
      </c>
      <c r="D130" s="3">
        <v>1197499.08</v>
      </c>
      <c r="E130">
        <f t="shared" si="3"/>
        <v>119.749908</v>
      </c>
      <c r="G130" s="6"/>
      <c r="H130" s="3">
        <v>98.8</v>
      </c>
      <c r="I130">
        <f t="shared" si="5"/>
        <v>-1.2000000000000028E-2</v>
      </c>
    </row>
    <row r="131" spans="1:9">
      <c r="A131" s="1">
        <v>41851</v>
      </c>
      <c r="B131">
        <v>0.13498881794144316</v>
      </c>
      <c r="C131">
        <v>-1.2680325982285497E-2</v>
      </c>
      <c r="D131" s="3">
        <v>1194249.24</v>
      </c>
      <c r="E131">
        <f t="shared" ref="E131:E185" si="6">D131/10000</f>
        <v>119.424924</v>
      </c>
      <c r="G131" s="6"/>
      <c r="H131" s="3">
        <v>99.1</v>
      </c>
      <c r="I131">
        <f t="shared" ref="I131" si="7">(H131-100)/100</f>
        <v>-9.0000000000000566E-3</v>
      </c>
    </row>
    <row r="132" spans="1:9">
      <c r="A132" s="1">
        <v>41820</v>
      </c>
      <c r="B132">
        <v>0.14717656194848863</v>
      </c>
      <c r="C132">
        <v>2.3084986410655428E-2</v>
      </c>
      <c r="D132" s="3">
        <v>1209587.2</v>
      </c>
      <c r="E132">
        <f t="shared" si="6"/>
        <v>120.95872</v>
      </c>
      <c r="G132" s="6"/>
      <c r="H132" s="3">
        <v>98.9</v>
      </c>
      <c r="I132">
        <f>(H132-100)/100</f>
        <v>-1.0999999999999944E-2</v>
      </c>
    </row>
    <row r="133" spans="1:9">
      <c r="A133" s="1">
        <v>41790</v>
      </c>
      <c r="B133">
        <v>0.13445494779369591</v>
      </c>
      <c r="C133">
        <v>1.1534175104381815E-2</v>
      </c>
      <c r="D133" s="3">
        <v>1182293.96</v>
      </c>
      <c r="E133">
        <f t="shared" si="6"/>
        <v>118.22939599999999</v>
      </c>
      <c r="G133" s="6"/>
      <c r="H133" s="3">
        <v>98.6</v>
      </c>
      <c r="I133">
        <f t="shared" ref="I133:I185" si="8">(H133-100)/100</f>
        <v>-1.4000000000000058E-2</v>
      </c>
    </row>
    <row r="134" spans="1:9">
      <c r="A134" s="1">
        <v>41759</v>
      </c>
      <c r="B134">
        <v>0.1319650566717275</v>
      </c>
      <c r="C134">
        <v>7.0004121178607439E-3</v>
      </c>
      <c r="D134" s="3">
        <v>1168812.67</v>
      </c>
      <c r="E134">
        <f t="shared" si="6"/>
        <v>116.88126699999999</v>
      </c>
      <c r="G134" s="6"/>
      <c r="H134" s="3">
        <v>98</v>
      </c>
      <c r="I134">
        <f t="shared" si="8"/>
        <v>-0.02</v>
      </c>
    </row>
    <row r="135" spans="1:9">
      <c r="A135" s="1">
        <v>41729</v>
      </c>
      <c r="B135">
        <v>0.12050779683326775</v>
      </c>
      <c r="C135">
        <v>2.5558889504949393E-2</v>
      </c>
      <c r="D135" s="3">
        <v>1160687.3799999999</v>
      </c>
      <c r="E135">
        <f t="shared" si="6"/>
        <v>116.06873799999998</v>
      </c>
      <c r="G135" s="6"/>
      <c r="H135" s="3">
        <v>97.7</v>
      </c>
      <c r="I135">
        <f t="shared" si="8"/>
        <v>-2.2999999999999972E-2</v>
      </c>
    </row>
    <row r="136" spans="1:9">
      <c r="A136" s="1">
        <v>41698</v>
      </c>
      <c r="B136">
        <v>0.13334657452668061</v>
      </c>
      <c r="C136">
        <v>7.3337467300685069E-3</v>
      </c>
      <c r="D136" s="3">
        <v>1131760.83</v>
      </c>
      <c r="E136">
        <f t="shared" si="6"/>
        <v>113.17608300000001</v>
      </c>
      <c r="G136" s="6"/>
      <c r="H136" s="3">
        <v>98</v>
      </c>
      <c r="I136">
        <f t="shared" si="8"/>
        <v>-0.02</v>
      </c>
    </row>
    <row r="137" spans="1:9">
      <c r="A137" s="1">
        <v>41670</v>
      </c>
      <c r="B137">
        <v>0.13243431740370518</v>
      </c>
      <c r="C137">
        <v>1.5360005700006864E-2</v>
      </c>
      <c r="D137" s="3">
        <v>1123521.21</v>
      </c>
      <c r="E137">
        <f t="shared" si="6"/>
        <v>112.352121</v>
      </c>
      <c r="G137" s="6"/>
      <c r="H137" s="3">
        <v>98.4</v>
      </c>
      <c r="I137">
        <f t="shared" si="8"/>
        <v>-1.5999999999999945E-2</v>
      </c>
    </row>
    <row r="138" spans="1:9">
      <c r="A138" s="1">
        <v>41639</v>
      </c>
      <c r="B138">
        <v>0.13587664590353618</v>
      </c>
      <c r="C138">
        <v>2.5265454367284772E-2</v>
      </c>
      <c r="D138" s="3">
        <v>1106524.98</v>
      </c>
      <c r="E138">
        <f t="shared" si="6"/>
        <v>110.65249799999999</v>
      </c>
      <c r="G138" s="6"/>
      <c r="H138" s="3">
        <v>98.6</v>
      </c>
      <c r="I138">
        <f t="shared" si="8"/>
        <v>-1.4000000000000058E-2</v>
      </c>
    </row>
    <row r="139" spans="1:9">
      <c r="A139" s="1">
        <v>41608</v>
      </c>
      <c r="B139">
        <v>0.14227355031432032</v>
      </c>
      <c r="C139">
        <v>8.4232244371384938E-3</v>
      </c>
      <c r="D139" s="3">
        <v>1079257.06</v>
      </c>
      <c r="E139">
        <f t="shared" si="6"/>
        <v>107.92570600000001</v>
      </c>
      <c r="G139" s="6"/>
      <c r="H139" s="3">
        <v>98.6</v>
      </c>
      <c r="I139">
        <f t="shared" si="8"/>
        <v>-1.4000000000000058E-2</v>
      </c>
    </row>
    <row r="140" spans="1:9">
      <c r="A140" s="1">
        <v>41578</v>
      </c>
      <c r="B140">
        <v>0.14292746504746848</v>
      </c>
      <c r="C140">
        <v>-6.6243995289457722E-3</v>
      </c>
      <c r="D140" s="3">
        <v>1070242.17</v>
      </c>
      <c r="E140">
        <f t="shared" si="6"/>
        <v>107.02421699999999</v>
      </c>
      <c r="G140" s="6"/>
      <c r="H140" s="3">
        <v>98.5</v>
      </c>
      <c r="I140">
        <f t="shared" si="8"/>
        <v>-1.4999999999999999E-2</v>
      </c>
    </row>
    <row r="141" spans="1:9">
      <c r="A141" s="1">
        <v>41547</v>
      </c>
      <c r="B141">
        <v>0.14166790692376052</v>
      </c>
      <c r="C141">
        <v>1.5192115255311087E-2</v>
      </c>
      <c r="D141" s="3">
        <v>1077379.1599999999</v>
      </c>
      <c r="E141">
        <f t="shared" si="6"/>
        <v>107.737916</v>
      </c>
      <c r="G141" s="6"/>
      <c r="H141" s="3">
        <v>98.7</v>
      </c>
      <c r="I141">
        <f t="shared" si="8"/>
        <v>-1.2999999999999972E-2</v>
      </c>
    </row>
    <row r="142" spans="1:9">
      <c r="A142" s="1">
        <v>41517</v>
      </c>
      <c r="B142">
        <v>0.14743500662059228</v>
      </c>
      <c r="C142">
        <v>8.5953088138082945E-3</v>
      </c>
      <c r="D142" s="3">
        <v>1061256.43</v>
      </c>
      <c r="E142">
        <f t="shared" si="6"/>
        <v>106.125643</v>
      </c>
      <c r="G142" s="6"/>
      <c r="H142" s="3">
        <v>98.4</v>
      </c>
      <c r="I142">
        <f t="shared" si="8"/>
        <v>-1.5999999999999945E-2</v>
      </c>
    </row>
    <row r="143" spans="1:9">
      <c r="A143" s="1">
        <v>41486</v>
      </c>
      <c r="B143">
        <v>0.14486338617066519</v>
      </c>
      <c r="C143">
        <v>-2.0782836979637851E-3</v>
      </c>
      <c r="D143" s="3">
        <v>1052212.3400000001</v>
      </c>
      <c r="E143">
        <f t="shared" si="6"/>
        <v>105.22123400000001</v>
      </c>
      <c r="G143" s="6"/>
      <c r="H143" s="3">
        <v>97.7</v>
      </c>
      <c r="I143">
        <f t="shared" si="8"/>
        <v>-2.2999999999999972E-2</v>
      </c>
    </row>
    <row r="144" spans="1:9">
      <c r="A144" s="1">
        <v>41455</v>
      </c>
      <c r="B144">
        <v>0.13990672559911921</v>
      </c>
      <c r="C144">
        <v>1.1739485747208169E-2</v>
      </c>
      <c r="D144" s="3">
        <v>1054403.69</v>
      </c>
      <c r="E144">
        <f t="shared" si="6"/>
        <v>105.44036899999999</v>
      </c>
      <c r="G144" s="6"/>
      <c r="H144" s="3">
        <v>97.3</v>
      </c>
      <c r="I144">
        <f t="shared" si="8"/>
        <v>-2.7000000000000027E-2</v>
      </c>
    </row>
    <row r="145" spans="1:9">
      <c r="A145" s="1">
        <v>41425</v>
      </c>
      <c r="B145">
        <v>0.15790298785698026</v>
      </c>
      <c r="C145">
        <v>9.3140693460541883E-3</v>
      </c>
      <c r="D145" s="3">
        <v>1042169.16</v>
      </c>
      <c r="E145">
        <f t="shared" si="6"/>
        <v>104.216916</v>
      </c>
      <c r="G145" s="6"/>
      <c r="H145" s="3">
        <v>97.1</v>
      </c>
      <c r="I145">
        <f t="shared" si="8"/>
        <v>-2.9000000000000057E-2</v>
      </c>
    </row>
    <row r="146" spans="1:9">
      <c r="A146" s="1">
        <v>41394</v>
      </c>
      <c r="B146">
        <v>0.16068706252727896</v>
      </c>
      <c r="C146">
        <v>-3.1920097339175548E-3</v>
      </c>
      <c r="D146" s="3">
        <v>1032551.9</v>
      </c>
      <c r="E146">
        <f t="shared" si="6"/>
        <v>103.25519</v>
      </c>
      <c r="G146" s="6"/>
      <c r="H146" s="3">
        <v>97.4</v>
      </c>
      <c r="I146">
        <f t="shared" si="8"/>
        <v>-2.5999999999999943E-2</v>
      </c>
    </row>
    <row r="147" spans="1:9">
      <c r="A147" s="1">
        <v>41364</v>
      </c>
      <c r="B147">
        <v>0.15665282997167712</v>
      </c>
      <c r="C147">
        <v>3.7309742672655341E-2</v>
      </c>
      <c r="D147" s="3">
        <v>1035858.37</v>
      </c>
      <c r="E147">
        <f t="shared" si="6"/>
        <v>103.585837</v>
      </c>
      <c r="G147" s="6"/>
      <c r="H147" s="3">
        <v>98.1</v>
      </c>
      <c r="I147">
        <f t="shared" si="8"/>
        <v>-1.9000000000000059E-2</v>
      </c>
    </row>
    <row r="148" spans="1:9">
      <c r="A148" s="1">
        <v>41333</v>
      </c>
      <c r="B148">
        <v>0.15156104891002969</v>
      </c>
      <c r="C148">
        <v>6.5229202747524662E-3</v>
      </c>
      <c r="D148" s="3">
        <v>998600.83</v>
      </c>
      <c r="E148">
        <f t="shared" si="6"/>
        <v>99.860082999999989</v>
      </c>
      <c r="H148" s="3">
        <v>98.4</v>
      </c>
      <c r="I148">
        <f t="shared" si="8"/>
        <v>-1.5999999999999945E-2</v>
      </c>
    </row>
    <row r="149" spans="1:9">
      <c r="A149" s="1">
        <v>41305</v>
      </c>
      <c r="B149">
        <v>0.15916641742577792</v>
      </c>
      <c r="C149">
        <v>1.8446456394315604E-2</v>
      </c>
      <c r="D149" s="3">
        <v>992129.25</v>
      </c>
      <c r="E149">
        <f t="shared" si="6"/>
        <v>99.212924999999998</v>
      </c>
      <c r="H149" s="3">
        <v>98.4</v>
      </c>
      <c r="I149">
        <f t="shared" si="8"/>
        <v>-1.5999999999999945E-2</v>
      </c>
    </row>
    <row r="150" spans="1:9">
      <c r="A150" s="1">
        <v>41274</v>
      </c>
      <c r="B150">
        <v>0.14392892173929986</v>
      </c>
      <c r="C150">
        <v>3.1039430908592826E-2</v>
      </c>
      <c r="D150" s="3">
        <v>974159.46</v>
      </c>
      <c r="E150">
        <f t="shared" si="6"/>
        <v>97.415945999999991</v>
      </c>
      <c r="H150" s="3">
        <v>98.1</v>
      </c>
      <c r="I150">
        <f t="shared" si="8"/>
        <v>-1.9000000000000059E-2</v>
      </c>
    </row>
    <row r="151" spans="1:9">
      <c r="A151" s="1">
        <v>41243</v>
      </c>
      <c r="B151">
        <v>0.14456612485853026</v>
      </c>
      <c r="C151">
        <v>9.000514179623352E-3</v>
      </c>
      <c r="D151" s="3">
        <v>944832.4</v>
      </c>
      <c r="E151">
        <f t="shared" si="6"/>
        <v>94.483240000000009</v>
      </c>
      <c r="H151" s="3">
        <v>97.8</v>
      </c>
      <c r="I151">
        <f t="shared" si="8"/>
        <v>-2.200000000000003E-2</v>
      </c>
    </row>
    <row r="152" spans="1:9">
      <c r="A152" s="1">
        <v>41213</v>
      </c>
      <c r="B152">
        <v>0.14638926066861591</v>
      </c>
      <c r="C152">
        <v>-7.7191446862113931E-3</v>
      </c>
      <c r="D152" s="3">
        <v>936404.28</v>
      </c>
      <c r="E152">
        <f t="shared" si="6"/>
        <v>93.640428</v>
      </c>
      <c r="H152" s="3">
        <v>97.2</v>
      </c>
      <c r="I152">
        <f t="shared" si="8"/>
        <v>-2.7999999999999973E-2</v>
      </c>
    </row>
    <row r="153" spans="1:9">
      <c r="A153" s="1">
        <v>41182</v>
      </c>
      <c r="B153">
        <v>0.19847767264215097</v>
      </c>
      <c r="C153">
        <v>2.0320326449309249E-2</v>
      </c>
      <c r="D153" s="3">
        <v>943688.75</v>
      </c>
      <c r="E153">
        <f t="shared" si="6"/>
        <v>94.368875000000003</v>
      </c>
      <c r="H153" s="3">
        <v>96.4</v>
      </c>
      <c r="I153">
        <f t="shared" si="8"/>
        <v>-3.5999999999999942E-2</v>
      </c>
    </row>
    <row r="154" spans="1:9">
      <c r="A154" s="1">
        <v>41152</v>
      </c>
      <c r="B154">
        <v>0.18446803576041193</v>
      </c>
      <c r="C154">
        <v>6.3348545772889536E-3</v>
      </c>
      <c r="D154" s="3">
        <v>924894.59</v>
      </c>
      <c r="E154">
        <f t="shared" si="6"/>
        <v>92.489458999999997</v>
      </c>
      <c r="H154" s="3">
        <v>96.5</v>
      </c>
      <c r="I154">
        <f t="shared" si="8"/>
        <v>-3.5000000000000003E-2</v>
      </c>
    </row>
    <row r="155" spans="1:9">
      <c r="A155" s="1">
        <v>41121</v>
      </c>
      <c r="B155">
        <v>0.1890856231401381</v>
      </c>
      <c r="C155">
        <v>-6.3987635774263914E-3</v>
      </c>
      <c r="D155" s="3">
        <v>919072.4</v>
      </c>
      <c r="E155">
        <f t="shared" si="6"/>
        <v>91.907240000000002</v>
      </c>
      <c r="H155" s="3">
        <v>97.1</v>
      </c>
      <c r="I155">
        <f t="shared" si="8"/>
        <v>-2.9000000000000057E-2</v>
      </c>
    </row>
    <row r="156" spans="1:9">
      <c r="A156" s="1">
        <v>41090</v>
      </c>
      <c r="B156">
        <v>0.18463947267801567</v>
      </c>
      <c r="C156">
        <v>2.7712309411855464E-2</v>
      </c>
      <c r="D156" s="3">
        <v>924991.2</v>
      </c>
      <c r="E156">
        <f t="shared" si="6"/>
        <v>92.499119999999991</v>
      </c>
      <c r="H156" s="3">
        <v>97.9</v>
      </c>
      <c r="I156">
        <f t="shared" si="8"/>
        <v>-2.0999999999999942E-2</v>
      </c>
    </row>
    <row r="157" spans="1:9">
      <c r="A157" s="1">
        <v>41060</v>
      </c>
      <c r="B157">
        <v>0.17898598342838989</v>
      </c>
      <c r="C157">
        <v>1.1740875187572193E-2</v>
      </c>
      <c r="D157" s="3">
        <v>900048.77</v>
      </c>
      <c r="E157">
        <f t="shared" si="6"/>
        <v>90.004877000000008</v>
      </c>
      <c r="H157" s="3">
        <v>98.6</v>
      </c>
      <c r="I157">
        <f t="shared" si="8"/>
        <v>-1.4000000000000058E-2</v>
      </c>
    </row>
    <row r="158" spans="1:9">
      <c r="A158" s="1">
        <v>41029</v>
      </c>
      <c r="B158">
        <v>0.17457377266840504</v>
      </c>
      <c r="C158">
        <v>-6.6566432047683423E-3</v>
      </c>
      <c r="D158" s="3">
        <v>889604.04</v>
      </c>
      <c r="E158">
        <f t="shared" si="6"/>
        <v>88.960403999999997</v>
      </c>
      <c r="H158" s="3">
        <v>99.3</v>
      </c>
      <c r="I158">
        <f t="shared" si="8"/>
        <v>-7.0000000000000288E-3</v>
      </c>
    </row>
    <row r="159" spans="1:9">
      <c r="A159" s="1">
        <v>40999</v>
      </c>
      <c r="B159">
        <v>0.1812808627449656</v>
      </c>
      <c r="C159">
        <v>3.2743330032717129E-2</v>
      </c>
      <c r="D159" s="3">
        <v>895565.5</v>
      </c>
      <c r="E159">
        <f t="shared" si="6"/>
        <v>89.556550000000001</v>
      </c>
      <c r="H159" s="3">
        <v>99.7</v>
      </c>
      <c r="I159">
        <f t="shared" si="8"/>
        <v>-2.9999999999999714E-3</v>
      </c>
    </row>
    <row r="160" spans="1:9">
      <c r="A160" s="1">
        <v>40968</v>
      </c>
      <c r="B160">
        <v>0.1780125886856585</v>
      </c>
      <c r="C160">
        <v>1.3170399134411809E-2</v>
      </c>
      <c r="D160" s="3">
        <v>867171.42</v>
      </c>
      <c r="E160">
        <f t="shared" si="6"/>
        <v>86.71714200000001</v>
      </c>
      <c r="H160" s="3">
        <v>100</v>
      </c>
      <c r="I160">
        <f t="shared" si="8"/>
        <v>0</v>
      </c>
    </row>
    <row r="161" spans="1:9">
      <c r="A161" s="1">
        <v>40939</v>
      </c>
      <c r="B161">
        <v>0.16625777644157064</v>
      </c>
      <c r="C161">
        <v>5.0587553248866218E-3</v>
      </c>
      <c r="D161" s="3">
        <v>855898.89</v>
      </c>
      <c r="E161">
        <f t="shared" si="6"/>
        <v>85.589888999999999</v>
      </c>
      <c r="H161" s="3">
        <v>100.7</v>
      </c>
      <c r="I161">
        <f t="shared" si="8"/>
        <v>7.0000000000000288E-3</v>
      </c>
    </row>
    <row r="162" spans="1:9">
      <c r="A162" s="1">
        <v>40908</v>
      </c>
      <c r="B162">
        <v>0.17322973054871157</v>
      </c>
      <c r="C162">
        <v>3.1613751156065517E-2</v>
      </c>
      <c r="D162" s="3">
        <v>851590.9</v>
      </c>
      <c r="E162">
        <f t="shared" si="6"/>
        <v>85.159090000000006</v>
      </c>
      <c r="H162" s="3">
        <v>101.7</v>
      </c>
      <c r="I162">
        <f t="shared" si="8"/>
        <v>1.7000000000000029E-2</v>
      </c>
    </row>
    <row r="163" spans="1:9">
      <c r="A163" s="1">
        <v>40877</v>
      </c>
      <c r="B163">
        <v>0.16211260417437559</v>
      </c>
      <c r="C163">
        <v>1.0607712689035003E-2</v>
      </c>
      <c r="D163" s="3">
        <v>825493.94</v>
      </c>
      <c r="E163">
        <f t="shared" si="6"/>
        <v>82.549393999999992</v>
      </c>
      <c r="H163" s="3">
        <v>102.7</v>
      </c>
      <c r="I163">
        <f t="shared" si="8"/>
        <v>2.7000000000000027E-2</v>
      </c>
    </row>
    <row r="164" spans="1:9">
      <c r="A164" s="1">
        <v>40847</v>
      </c>
      <c r="B164">
        <v>0.1672712213898393</v>
      </c>
      <c r="C164">
        <v>3.7367054005924834E-2</v>
      </c>
      <c r="D164" s="3">
        <v>816829.25</v>
      </c>
      <c r="E164">
        <f t="shared" si="6"/>
        <v>81.682924999999997</v>
      </c>
      <c r="H164" s="3">
        <v>105</v>
      </c>
      <c r="I164">
        <f t="shared" si="8"/>
        <v>0.05</v>
      </c>
    </row>
    <row r="165" spans="1:9">
      <c r="A165" s="1">
        <v>40816</v>
      </c>
      <c r="B165">
        <v>0.13056485441256382</v>
      </c>
      <c r="C165">
        <v>8.3932646417253388E-3</v>
      </c>
      <c r="D165" s="3">
        <v>787406.2</v>
      </c>
      <c r="E165">
        <f t="shared" si="6"/>
        <v>78.740619999999993</v>
      </c>
      <c r="H165" s="3">
        <v>106.5</v>
      </c>
      <c r="I165">
        <f t="shared" si="8"/>
        <v>6.5000000000000002E-2</v>
      </c>
    </row>
    <row r="166" spans="1:9">
      <c r="A166" s="1">
        <v>40786</v>
      </c>
      <c r="B166">
        <v>0.13577373155749473</v>
      </c>
      <c r="C166">
        <v>1.0257998962769509E-2</v>
      </c>
      <c r="D166" s="3">
        <v>780852.3</v>
      </c>
      <c r="E166">
        <f t="shared" si="6"/>
        <v>78.08523000000001</v>
      </c>
      <c r="H166" s="3">
        <v>107.3</v>
      </c>
      <c r="I166">
        <f t="shared" si="8"/>
        <v>7.2999999999999968E-2</v>
      </c>
    </row>
    <row r="167" spans="1:9">
      <c r="A167" s="1">
        <v>40755</v>
      </c>
      <c r="B167">
        <v>0.14668341059053835</v>
      </c>
      <c r="C167">
        <v>-1.0113971726036713E-2</v>
      </c>
      <c r="D167" s="3">
        <v>772923.65</v>
      </c>
      <c r="E167">
        <f t="shared" si="6"/>
        <v>77.292365000000004</v>
      </c>
      <c r="H167" s="3">
        <v>107.5</v>
      </c>
      <c r="I167">
        <f t="shared" si="8"/>
        <v>7.4999999999999997E-2</v>
      </c>
    </row>
    <row r="168" spans="1:9">
      <c r="A168" s="1">
        <v>40724</v>
      </c>
      <c r="B168">
        <v>0.15862247324511222</v>
      </c>
      <c r="C168">
        <v>2.2807728206374042E-2</v>
      </c>
      <c r="D168" s="3">
        <v>780820.85</v>
      </c>
      <c r="E168">
        <f t="shared" si="6"/>
        <v>78.082084999999992</v>
      </c>
      <c r="H168" s="3">
        <v>107.1</v>
      </c>
      <c r="I168">
        <f t="shared" si="8"/>
        <v>7.0999999999999938E-2</v>
      </c>
    </row>
    <row r="169" spans="1:9">
      <c r="A169" s="1">
        <v>40694</v>
      </c>
      <c r="B169">
        <v>0.15083687850075592</v>
      </c>
      <c r="C169">
        <v>7.9545587779079035E-3</v>
      </c>
      <c r="D169" s="3">
        <v>763409.22</v>
      </c>
      <c r="E169">
        <f t="shared" si="6"/>
        <v>76.340921999999992</v>
      </c>
      <c r="H169" s="3">
        <v>106.8</v>
      </c>
      <c r="I169">
        <f t="shared" si="8"/>
        <v>6.7999999999999977E-2</v>
      </c>
    </row>
    <row r="170" spans="1:9">
      <c r="A170" s="1">
        <v>40663</v>
      </c>
      <c r="B170">
        <v>0.15356274012041116</v>
      </c>
      <c r="C170">
        <v>-9.8442105405329057E-4</v>
      </c>
      <c r="D170" s="3">
        <v>757384.56</v>
      </c>
      <c r="E170">
        <f t="shared" si="6"/>
        <v>75.738455999999999</v>
      </c>
      <c r="H170" s="3">
        <v>106.8</v>
      </c>
      <c r="I170">
        <f t="shared" si="8"/>
        <v>6.7999999999999977E-2</v>
      </c>
    </row>
    <row r="171" spans="1:9">
      <c r="A171" s="1">
        <v>40633</v>
      </c>
      <c r="B171">
        <v>0.1664494850091422</v>
      </c>
      <c r="C171">
        <v>2.9886017820255517E-2</v>
      </c>
      <c r="D171" s="3">
        <v>758130.88</v>
      </c>
      <c r="E171">
        <f t="shared" si="6"/>
        <v>75.813087999999993</v>
      </c>
      <c r="H171" s="3">
        <v>107.3</v>
      </c>
      <c r="I171">
        <f t="shared" si="8"/>
        <v>7.2999999999999968E-2</v>
      </c>
    </row>
    <row r="172" spans="1:9">
      <c r="A172" s="1">
        <v>40602</v>
      </c>
      <c r="B172">
        <v>0.15730697012317432</v>
      </c>
      <c r="C172">
        <v>3.0604665857448341E-3</v>
      </c>
      <c r="D172" s="3">
        <v>736130.86</v>
      </c>
      <c r="E172">
        <f t="shared" si="6"/>
        <v>73.613085999999996</v>
      </c>
      <c r="H172" s="3">
        <v>107.2</v>
      </c>
      <c r="I172">
        <f t="shared" si="8"/>
        <v>7.2000000000000022E-2</v>
      </c>
    </row>
    <row r="173" spans="1:9">
      <c r="A173" s="1">
        <v>40574</v>
      </c>
      <c r="B173">
        <v>0.173072142199167</v>
      </c>
      <c r="C173">
        <v>1.1067052683027647E-2</v>
      </c>
      <c r="D173" s="3">
        <v>733884.83</v>
      </c>
      <c r="E173">
        <f t="shared" si="6"/>
        <v>73.388482999999994</v>
      </c>
      <c r="H173" s="3">
        <v>106.6</v>
      </c>
      <c r="I173">
        <f t="shared" si="8"/>
        <v>6.5999999999999948E-2</v>
      </c>
    </row>
    <row r="174" spans="1:9">
      <c r="A174" s="1">
        <v>40543</v>
      </c>
      <c r="D174" s="3">
        <v>725851.79</v>
      </c>
      <c r="E174">
        <f t="shared" si="6"/>
        <v>72.585179000000011</v>
      </c>
      <c r="H174" s="3">
        <v>105.9</v>
      </c>
      <c r="I174">
        <f t="shared" si="8"/>
        <v>5.9000000000000059E-2</v>
      </c>
    </row>
    <row r="175" spans="1:9">
      <c r="A175" s="1">
        <v>40512</v>
      </c>
      <c r="D175" s="3">
        <v>710339.03</v>
      </c>
      <c r="E175">
        <f t="shared" si="6"/>
        <v>71.033903000000009</v>
      </c>
      <c r="H175" s="3">
        <v>106.1</v>
      </c>
      <c r="I175">
        <f t="shared" si="8"/>
        <v>6.0999999999999943E-2</v>
      </c>
    </row>
    <row r="176" spans="1:9">
      <c r="A176" s="1">
        <v>40482</v>
      </c>
      <c r="D176" s="3">
        <v>699776.74</v>
      </c>
      <c r="E176">
        <f t="shared" si="6"/>
        <v>69.977673999999993</v>
      </c>
      <c r="H176" s="3">
        <v>105</v>
      </c>
      <c r="I176">
        <f t="shared" si="8"/>
        <v>0.05</v>
      </c>
    </row>
    <row r="177" spans="1:9">
      <c r="A177" s="1">
        <v>40451</v>
      </c>
      <c r="D177" s="3">
        <v>696471.5</v>
      </c>
      <c r="E177">
        <f t="shared" si="6"/>
        <v>69.647149999999996</v>
      </c>
      <c r="H177" s="3">
        <v>104.3</v>
      </c>
      <c r="I177">
        <f t="shared" si="8"/>
        <v>4.2999999999999969E-2</v>
      </c>
    </row>
    <row r="178" spans="1:9">
      <c r="A178" s="1">
        <v>40421</v>
      </c>
      <c r="D178" s="3">
        <v>687506.92</v>
      </c>
      <c r="E178">
        <f t="shared" si="6"/>
        <v>68.750692000000001</v>
      </c>
      <c r="H178" s="3">
        <v>104.3</v>
      </c>
      <c r="I178">
        <f t="shared" si="8"/>
        <v>4.2999999999999969E-2</v>
      </c>
    </row>
    <row r="179" spans="1:9">
      <c r="A179" s="1">
        <v>40390</v>
      </c>
      <c r="D179" s="3">
        <v>674051.48</v>
      </c>
      <c r="E179">
        <f t="shared" si="6"/>
        <v>67.405147999999997</v>
      </c>
      <c r="H179" s="3">
        <v>104.8</v>
      </c>
      <c r="I179">
        <f t="shared" si="8"/>
        <v>4.7999999999999973E-2</v>
      </c>
    </row>
    <row r="180" spans="1:9">
      <c r="A180" s="1">
        <v>40359</v>
      </c>
      <c r="D180" s="3">
        <v>673921.72</v>
      </c>
      <c r="E180">
        <f t="shared" si="6"/>
        <v>67.392172000000002</v>
      </c>
      <c r="H180" s="3">
        <v>106.4</v>
      </c>
      <c r="I180">
        <f t="shared" si="8"/>
        <v>6.4000000000000057E-2</v>
      </c>
    </row>
    <row r="181" spans="1:9">
      <c r="A181" s="1">
        <v>40329</v>
      </c>
      <c r="D181" s="3">
        <v>663351.37</v>
      </c>
      <c r="E181">
        <f t="shared" si="6"/>
        <v>66.335137000000003</v>
      </c>
      <c r="H181" s="3">
        <v>107.1</v>
      </c>
      <c r="I181">
        <f t="shared" si="8"/>
        <v>7.0999999999999938E-2</v>
      </c>
    </row>
    <row r="182" spans="1:9">
      <c r="A182" s="1">
        <v>40298</v>
      </c>
      <c r="D182" s="3">
        <v>656561.22</v>
      </c>
      <c r="E182">
        <f t="shared" si="6"/>
        <v>65.656121999999996</v>
      </c>
      <c r="H182" s="3">
        <v>106.8</v>
      </c>
      <c r="I182">
        <f t="shared" si="8"/>
        <v>6.7999999999999977E-2</v>
      </c>
    </row>
    <row r="183" spans="1:9">
      <c r="A183" s="1">
        <v>40268</v>
      </c>
      <c r="D183" s="3">
        <v>649947.46</v>
      </c>
      <c r="E183">
        <f t="shared" si="6"/>
        <v>64.994745999999992</v>
      </c>
      <c r="H183" s="3">
        <v>105.9</v>
      </c>
      <c r="I183">
        <f t="shared" si="8"/>
        <v>5.9000000000000059E-2</v>
      </c>
    </row>
    <row r="184" spans="1:9">
      <c r="A184" s="1">
        <v>40237</v>
      </c>
      <c r="D184" s="3">
        <v>636072.26</v>
      </c>
      <c r="E184">
        <f t="shared" si="6"/>
        <v>63.607226000000004</v>
      </c>
      <c r="H184" s="3">
        <v>105.4</v>
      </c>
      <c r="I184">
        <f t="shared" si="8"/>
        <v>5.4000000000000055E-2</v>
      </c>
    </row>
    <row r="185" spans="1:9">
      <c r="A185" s="1">
        <v>40209</v>
      </c>
      <c r="D185" s="3">
        <v>625609.29</v>
      </c>
      <c r="E185">
        <f t="shared" si="6"/>
        <v>62.560929000000002</v>
      </c>
      <c r="H185" s="3">
        <v>104.3</v>
      </c>
      <c r="I185">
        <f t="shared" si="8"/>
        <v>4.2999999999999969E-2</v>
      </c>
    </row>
    <row r="186" spans="1:9">
      <c r="H186" s="11"/>
    </row>
    <row r="187" spans="1:9">
      <c r="H187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45B20-3F95-9941-8865-212C42CC368D}">
  <dimension ref="A1:M189"/>
  <sheetViews>
    <sheetView tabSelected="1" zoomScale="143" zoomScaleNormal="86" workbookViewId="0">
      <selection activeCell="A67" sqref="A67:XFD67"/>
    </sheetView>
  </sheetViews>
  <sheetFormatPr baseColWidth="10" defaultRowHeight="16"/>
  <cols>
    <col min="1" max="1" width="16" bestFit="1" customWidth="1"/>
    <col min="2" max="2" width="46" customWidth="1"/>
    <col min="3" max="3" width="36.6640625" customWidth="1"/>
    <col min="4" max="4" width="33" customWidth="1"/>
    <col min="5" max="5" width="27.5" customWidth="1"/>
    <col min="6" max="6" width="39.6640625" customWidth="1"/>
    <col min="7" max="7" width="40.33203125" customWidth="1"/>
  </cols>
  <sheetData>
    <row r="1" spans="1:13">
      <c r="A1" t="s">
        <v>0</v>
      </c>
      <c r="B1" t="s">
        <v>1</v>
      </c>
      <c r="G1" s="9"/>
    </row>
    <row r="2" spans="1:13">
      <c r="B2" t="s">
        <v>2</v>
      </c>
      <c r="C2" s="2" t="s">
        <v>4</v>
      </c>
      <c r="F2" s="2" t="s">
        <v>11</v>
      </c>
      <c r="G2" s="10" t="s">
        <v>13</v>
      </c>
    </row>
    <row r="3" spans="1:13">
      <c r="B3" t="s">
        <v>3</v>
      </c>
      <c r="C3" s="4" t="s">
        <v>5</v>
      </c>
      <c r="D3" t="s">
        <v>6</v>
      </c>
      <c r="E3" t="s">
        <v>7</v>
      </c>
      <c r="F3" s="3" t="s">
        <v>12</v>
      </c>
      <c r="G3" s="10" t="s">
        <v>14</v>
      </c>
      <c r="I3">
        <f>C4/C67</f>
        <v>1.6073319073166004</v>
      </c>
    </row>
    <row r="4" spans="1:13">
      <c r="A4" s="1">
        <v>45777</v>
      </c>
      <c r="B4">
        <f>44720.2</f>
        <v>44720.2</v>
      </c>
      <c r="C4" s="3">
        <v>3251739.32</v>
      </c>
      <c r="D4">
        <f>(C4-C16)/C16</f>
        <v>7.961552433357294E-2</v>
      </c>
      <c r="E4">
        <f>(C4-C5)/C5</f>
        <v>-2.7036044975625112E-3</v>
      </c>
      <c r="F4" s="3">
        <v>99.9</v>
      </c>
      <c r="G4" s="3">
        <v>97.3</v>
      </c>
    </row>
    <row r="5" spans="1:13">
      <c r="A5" s="1">
        <v>45747</v>
      </c>
      <c r="B5">
        <f>44929.8</f>
        <v>44929.8</v>
      </c>
      <c r="C5" s="3">
        <v>3260554.57</v>
      </c>
      <c r="D5">
        <f t="shared" ref="D5:D68" si="0">(C5-C17)/C17</f>
        <v>6.9752541654065747E-2</v>
      </c>
      <c r="E5">
        <f t="shared" ref="E5:E68" si="1">(C5-C6)/C6</f>
        <v>1.7278732178607484E-2</v>
      </c>
      <c r="F5" s="3">
        <v>99.9</v>
      </c>
      <c r="G5" s="3">
        <v>97.5</v>
      </c>
    </row>
    <row r="6" spans="1:13">
      <c r="A6" s="1">
        <v>45716</v>
      </c>
      <c r="B6">
        <f>44036.8</f>
        <v>44036.800000000003</v>
      </c>
      <c r="C6" s="3">
        <v>3205173.24</v>
      </c>
      <c r="D6">
        <f t="shared" si="0"/>
        <v>6.9970009777461706E-2</v>
      </c>
      <c r="E6">
        <f t="shared" si="1"/>
        <v>6.2557342881000696E-3</v>
      </c>
      <c r="F6" s="3">
        <v>99.9</v>
      </c>
      <c r="G6" s="3">
        <v>97.8</v>
      </c>
    </row>
    <row r="7" spans="1:13">
      <c r="A7" s="1">
        <v>45688</v>
      </c>
      <c r="B7">
        <f>43967.2</f>
        <v>43967.199999999997</v>
      </c>
      <c r="C7" s="3">
        <v>3185247.18</v>
      </c>
      <c r="D7">
        <f t="shared" si="0"/>
        <v>7.0221576129587487E-2</v>
      </c>
      <c r="E7">
        <f t="shared" si="1"/>
        <v>1.5923364561276639E-2</v>
      </c>
      <c r="F7" s="3">
        <v>99.3</v>
      </c>
      <c r="G7" s="3">
        <v>97.7</v>
      </c>
      <c r="H7" s="5"/>
      <c r="I7" s="5"/>
      <c r="J7" s="5"/>
      <c r="K7" s="5"/>
      <c r="L7" s="5"/>
      <c r="M7" s="5"/>
    </row>
    <row r="8" spans="1:13">
      <c r="A8" s="1">
        <v>45657</v>
      </c>
      <c r="B8">
        <f>42953.7</f>
        <v>42953.7</v>
      </c>
      <c r="C8" s="3">
        <v>3135322.3</v>
      </c>
      <c r="D8">
        <f t="shared" si="0"/>
        <v>7.2743696009351599E-2</v>
      </c>
      <c r="E8">
        <f t="shared" si="1"/>
        <v>5.0439460858550675E-3</v>
      </c>
      <c r="F8" s="3">
        <v>100.5</v>
      </c>
      <c r="G8" s="3">
        <v>97.7</v>
      </c>
    </row>
    <row r="9" spans="1:13">
      <c r="A9" s="1">
        <v>45626</v>
      </c>
      <c r="B9">
        <f>43052.5</f>
        <v>43052.5</v>
      </c>
      <c r="C9" s="3">
        <v>3119587.27</v>
      </c>
      <c r="D9">
        <f t="shared" si="0"/>
        <v>7.12816058982019E-2</v>
      </c>
      <c r="E9">
        <f t="shared" si="1"/>
        <v>7.263348950359484E-3</v>
      </c>
      <c r="F9" s="3">
        <v>100.1</v>
      </c>
      <c r="G9" s="3">
        <v>97.5</v>
      </c>
    </row>
    <row r="10" spans="1:13">
      <c r="A10" s="1">
        <v>45596</v>
      </c>
      <c r="B10">
        <f>43510.7</f>
        <v>43510.7</v>
      </c>
      <c r="C10" s="3">
        <v>3097092.01</v>
      </c>
      <c r="D10">
        <f t="shared" si="0"/>
        <v>7.4529966867469419E-2</v>
      </c>
      <c r="E10">
        <f t="shared" si="1"/>
        <v>7.411694792742136E-4</v>
      </c>
      <c r="F10" s="3">
        <v>100.2</v>
      </c>
      <c r="G10" s="3">
        <v>97.1</v>
      </c>
    </row>
    <row r="11" spans="1:13">
      <c r="A11" s="1">
        <v>45565</v>
      </c>
      <c r="B11">
        <f>44093.6</f>
        <v>44093.599999999999</v>
      </c>
      <c r="C11" s="3">
        <v>3094798.24</v>
      </c>
      <c r="D11">
        <f t="shared" si="0"/>
        <v>6.8402639895034242E-2</v>
      </c>
      <c r="E11">
        <f t="shared" si="1"/>
        <v>1.4534513332798421E-2</v>
      </c>
      <c r="F11" s="3">
        <v>100.3</v>
      </c>
      <c r="G11" s="3">
        <v>97.2</v>
      </c>
    </row>
    <row r="12" spans="1:13">
      <c r="A12" s="1">
        <v>45535</v>
      </c>
      <c r="B12">
        <f>43017</f>
        <v>43017</v>
      </c>
      <c r="C12" s="3">
        <v>3050461.27</v>
      </c>
      <c r="D12">
        <f t="shared" si="0"/>
        <v>6.3121768369817741E-2</v>
      </c>
      <c r="E12">
        <f t="shared" si="1"/>
        <v>5.7369407546129774E-3</v>
      </c>
      <c r="F12" s="3">
        <v>100.4</v>
      </c>
      <c r="G12" s="3">
        <v>98.2</v>
      </c>
    </row>
    <row r="13" spans="1:13">
      <c r="A13" s="1">
        <v>45504</v>
      </c>
      <c r="B13">
        <f>41970.8</f>
        <v>41970.8</v>
      </c>
      <c r="C13" s="3">
        <v>3033060.78</v>
      </c>
      <c r="D13">
        <f t="shared" si="0"/>
        <v>6.2728535489635487E-2</v>
      </c>
      <c r="E13">
        <f t="shared" si="1"/>
        <v>-5.6065096145695428E-3</v>
      </c>
      <c r="F13" s="3">
        <v>100.6</v>
      </c>
      <c r="G13" s="3">
        <v>99.2</v>
      </c>
    </row>
    <row r="14" spans="1:13">
      <c r="A14" s="1">
        <v>45473</v>
      </c>
      <c r="B14">
        <f>41971</f>
        <v>41971</v>
      </c>
      <c r="C14" s="3">
        <v>3050161.54</v>
      </c>
      <c r="D14">
        <f t="shared" si="0"/>
        <v>6.1655496258100982E-2</v>
      </c>
      <c r="E14">
        <f t="shared" si="1"/>
        <v>1.0486910526119667E-2</v>
      </c>
      <c r="F14" s="3">
        <v>100.5</v>
      </c>
      <c r="G14" s="3">
        <v>99.2</v>
      </c>
    </row>
    <row r="15" spans="1:13">
      <c r="A15" s="1">
        <v>45443</v>
      </c>
      <c r="B15">
        <f>41681.7</f>
        <v>41681.699999999997</v>
      </c>
      <c r="C15" s="3">
        <v>3018506.73</v>
      </c>
      <c r="D15">
        <f t="shared" si="0"/>
        <v>7.0200929430827896E-2</v>
      </c>
      <c r="E15">
        <f t="shared" si="1"/>
        <v>2.1795738575282916E-3</v>
      </c>
      <c r="F15" s="3">
        <v>100.2</v>
      </c>
      <c r="G15" s="3">
        <v>98.6</v>
      </c>
    </row>
    <row r="16" spans="1:13">
      <c r="A16" s="1">
        <v>45412</v>
      </c>
      <c r="B16">
        <f>41595.7</f>
        <v>41595.699999999997</v>
      </c>
      <c r="C16" s="3">
        <v>3011941.98</v>
      </c>
      <c r="D16">
        <f t="shared" si="0"/>
        <v>7.2449656865401335E-2</v>
      </c>
      <c r="E16">
        <f t="shared" si="1"/>
        <v>-1.1814548952763146E-2</v>
      </c>
      <c r="F16" s="3">
        <v>100.3</v>
      </c>
      <c r="G16" s="3">
        <v>97.5</v>
      </c>
    </row>
    <row r="17" spans="1:7">
      <c r="A17" s="1">
        <v>45382</v>
      </c>
      <c r="B17">
        <f>42201.4</f>
        <v>42201.4</v>
      </c>
      <c r="C17" s="3">
        <v>3047952.16</v>
      </c>
      <c r="D17">
        <f t="shared" si="0"/>
        <v>8.2920714701512965E-2</v>
      </c>
      <c r="E17">
        <f t="shared" si="1"/>
        <v>1.7485532993042043E-2</v>
      </c>
      <c r="F17" s="3">
        <v>100.3</v>
      </c>
      <c r="G17" s="3">
        <v>97.2</v>
      </c>
    </row>
    <row r="18" spans="1:7">
      <c r="A18" s="1">
        <v>45351</v>
      </c>
      <c r="B18">
        <f>41671.2</f>
        <v>41671.199999999997</v>
      </c>
      <c r="C18" s="3">
        <v>2995572.97</v>
      </c>
      <c r="D18">
        <f t="shared" si="0"/>
        <v>8.7223956868685962E-2</v>
      </c>
      <c r="E18">
        <f t="shared" si="1"/>
        <v>6.492320437307326E-3</v>
      </c>
      <c r="F18" s="3">
        <v>100.1</v>
      </c>
      <c r="G18" s="3">
        <v>97.3</v>
      </c>
    </row>
    <row r="19" spans="1:7">
      <c r="A19" s="1">
        <v>45322</v>
      </c>
      <c r="B19">
        <f>41516.1</f>
        <v>41516.1</v>
      </c>
      <c r="C19" s="3">
        <v>2976250.2</v>
      </c>
      <c r="D19">
        <f t="shared" si="0"/>
        <v>8.6987535309790254E-2</v>
      </c>
      <c r="E19">
        <f t="shared" si="1"/>
        <v>1.831752346371928E-2</v>
      </c>
      <c r="F19" s="3">
        <v>100.7</v>
      </c>
      <c r="G19" s="3">
        <v>97.5</v>
      </c>
    </row>
    <row r="20" spans="1:7">
      <c r="A20" s="1">
        <v>45291</v>
      </c>
      <c r="B20">
        <f>41165</f>
        <v>41165</v>
      </c>
      <c r="C20" s="3">
        <v>2922713.33</v>
      </c>
      <c r="D20">
        <f t="shared" si="0"/>
        <v>9.6982497798576026E-2</v>
      </c>
      <c r="E20">
        <f t="shared" si="1"/>
        <v>3.6741269759320988E-3</v>
      </c>
      <c r="F20" s="3">
        <v>99.2</v>
      </c>
      <c r="G20" s="3">
        <v>97.3</v>
      </c>
    </row>
    <row r="21" spans="1:7">
      <c r="A21" s="1">
        <v>45260</v>
      </c>
      <c r="B21">
        <f>40812.5</f>
        <v>40812.5</v>
      </c>
      <c r="C21" s="3">
        <v>2912014.22</v>
      </c>
      <c r="D21">
        <f t="shared" si="0"/>
        <v>0.10011518361286105</v>
      </c>
      <c r="E21">
        <f t="shared" si="1"/>
        <v>1.0317592512919962E-2</v>
      </c>
      <c r="F21" s="3">
        <v>99.7</v>
      </c>
      <c r="G21" s="3">
        <v>97</v>
      </c>
    </row>
    <row r="22" spans="1:7">
      <c r="A22" s="1">
        <v>45230</v>
      </c>
      <c r="B22">
        <f>39394.2</f>
        <v>39394.199999999997</v>
      </c>
      <c r="C22" s="3">
        <v>2882276.07</v>
      </c>
      <c r="D22">
        <f t="shared" si="0"/>
        <v>0.10308852156616817</v>
      </c>
      <c r="E22">
        <f t="shared" si="1"/>
        <v>-4.9653892480292713E-3</v>
      </c>
      <c r="F22" s="3">
        <v>99.5</v>
      </c>
      <c r="G22" s="3">
        <v>97.4</v>
      </c>
    </row>
    <row r="23" spans="1:7">
      <c r="A23" s="1">
        <v>45199</v>
      </c>
      <c r="B23">
        <f>39691.1</f>
        <v>39691.1</v>
      </c>
      <c r="C23" s="3">
        <v>2896659.11</v>
      </c>
      <c r="D23">
        <f t="shared" si="0"/>
        <v>0.10281660527249033</v>
      </c>
      <c r="E23">
        <f t="shared" si="1"/>
        <v>9.5198997192127051E-3</v>
      </c>
      <c r="F23" s="3">
        <v>99.8</v>
      </c>
      <c r="G23" s="3">
        <v>97.5</v>
      </c>
    </row>
    <row r="24" spans="1:7">
      <c r="A24" s="1">
        <v>45169</v>
      </c>
      <c r="B24">
        <f>39528.6</f>
        <v>39528.6</v>
      </c>
      <c r="C24" s="3">
        <v>2869343.25</v>
      </c>
      <c r="D24">
        <f t="shared" si="0"/>
        <v>0.10569085336625844</v>
      </c>
      <c r="E24">
        <f t="shared" si="1"/>
        <v>5.3649336659752789E-3</v>
      </c>
      <c r="F24" s="3">
        <v>100</v>
      </c>
      <c r="G24" s="3">
        <v>97</v>
      </c>
    </row>
    <row r="25" spans="1:7">
      <c r="A25" s="1">
        <v>45138</v>
      </c>
      <c r="B25">
        <f>39956.8</f>
        <v>39956.800000000003</v>
      </c>
      <c r="C25" s="3">
        <v>2854031.56</v>
      </c>
      <c r="D25">
        <f t="shared" si="0"/>
        <v>0.10703823894707765</v>
      </c>
      <c r="E25">
        <f t="shared" si="1"/>
        <v>-6.6105508077181586E-3</v>
      </c>
      <c r="F25" s="3">
        <v>100.1</v>
      </c>
      <c r="G25" s="3">
        <v>95.6</v>
      </c>
    </row>
    <row r="26" spans="1:7">
      <c r="A26" s="1">
        <v>45107</v>
      </c>
      <c r="B26">
        <f>39607.7</f>
        <v>39607.699999999997</v>
      </c>
      <c r="C26" s="3">
        <v>2873023.83</v>
      </c>
      <c r="D26">
        <f t="shared" si="0"/>
        <v>0.11294911559823399</v>
      </c>
      <c r="E26">
        <f t="shared" si="1"/>
        <v>1.8620479651180692E-2</v>
      </c>
      <c r="F26" s="3">
        <v>99.7</v>
      </c>
      <c r="G26" s="3">
        <v>94.6</v>
      </c>
    </row>
    <row r="27" spans="1:7">
      <c r="A27" s="1">
        <v>45077</v>
      </c>
      <c r="B27">
        <f>39677.4</f>
        <v>39677.4</v>
      </c>
      <c r="C27" s="3">
        <v>2820504.68</v>
      </c>
      <c r="D27">
        <f t="shared" si="0"/>
        <v>0.1161359291830044</v>
      </c>
      <c r="E27">
        <f t="shared" si="1"/>
        <v>4.2853734696638411E-3</v>
      </c>
      <c r="F27" s="3">
        <v>100</v>
      </c>
      <c r="G27" s="3">
        <v>95.4</v>
      </c>
    </row>
    <row r="28" spans="1:7">
      <c r="A28" s="1">
        <v>45046</v>
      </c>
      <c r="B28">
        <f>40594.2</f>
        <v>40594.199999999997</v>
      </c>
      <c r="C28" s="3">
        <v>2808469.34</v>
      </c>
      <c r="D28">
        <f t="shared" si="0"/>
        <v>0.12351765958215406</v>
      </c>
      <c r="E28">
        <f t="shared" si="1"/>
        <v>-2.1662200596724275E-3</v>
      </c>
      <c r="F28" s="3">
        <v>100.2</v>
      </c>
      <c r="G28" s="3">
        <v>96.4</v>
      </c>
    </row>
    <row r="29" spans="1:7">
      <c r="A29" s="1">
        <v>45016</v>
      </c>
      <c r="B29">
        <f>40946.9</f>
        <v>40946.9</v>
      </c>
      <c r="C29" s="3">
        <v>2814566.31</v>
      </c>
      <c r="D29">
        <f t="shared" si="0"/>
        <v>0.12686849873351302</v>
      </c>
      <c r="E29">
        <f t="shared" si="1"/>
        <v>2.1528752954229145E-2</v>
      </c>
      <c r="F29" s="3">
        <v>100.1</v>
      </c>
      <c r="G29" s="3">
        <v>97.5</v>
      </c>
    </row>
    <row r="30" spans="1:7">
      <c r="A30" s="1">
        <v>44985</v>
      </c>
      <c r="B30">
        <f>39726.2</f>
        <v>39726.199999999997</v>
      </c>
      <c r="C30" s="3">
        <v>2755249.23</v>
      </c>
      <c r="D30">
        <f t="shared" si="0"/>
        <v>0.1285118805987609</v>
      </c>
      <c r="E30">
        <f t="shared" si="1"/>
        <v>6.2734543224548757E-3</v>
      </c>
      <c r="F30" s="3">
        <v>100.7</v>
      </c>
      <c r="G30" s="3">
        <v>98.6</v>
      </c>
    </row>
    <row r="31" spans="1:7">
      <c r="A31" s="1">
        <v>44957</v>
      </c>
      <c r="B31">
        <f>40532.2</f>
        <v>40532.199999999997</v>
      </c>
      <c r="C31" s="3">
        <v>2738072.06</v>
      </c>
      <c r="D31">
        <f t="shared" si="0"/>
        <v>0.12630459496487134</v>
      </c>
      <c r="E31">
        <f t="shared" si="1"/>
        <v>2.7681058111604987E-2</v>
      </c>
      <c r="F31" s="3">
        <v>101</v>
      </c>
      <c r="G31" s="3">
        <v>99.2</v>
      </c>
    </row>
    <row r="32" spans="1:7">
      <c r="A32" s="1">
        <v>44926</v>
      </c>
      <c r="B32">
        <f>38621.2</f>
        <v>38621.199999999997</v>
      </c>
      <c r="C32" s="3">
        <v>2664320.84</v>
      </c>
      <c r="D32">
        <f t="shared" si="0"/>
        <v>0.11810035333591642</v>
      </c>
      <c r="E32">
        <f t="shared" si="1"/>
        <v>6.5403492776116342E-3</v>
      </c>
      <c r="F32" s="3">
        <v>102.1</v>
      </c>
      <c r="G32" s="3">
        <v>99.3</v>
      </c>
    </row>
    <row r="33" spans="1:7">
      <c r="A33" s="1">
        <v>44895</v>
      </c>
      <c r="B33">
        <f>37321.8</f>
        <v>37321.800000000003</v>
      </c>
      <c r="C33" s="3">
        <v>2647008.48</v>
      </c>
      <c r="D33">
        <f t="shared" si="0"/>
        <v>0.1235119456653538</v>
      </c>
      <c r="E33">
        <f t="shared" si="1"/>
        <v>1.3048229892950595E-2</v>
      </c>
      <c r="F33" s="3">
        <v>101.8</v>
      </c>
      <c r="G33" s="3">
        <v>98.7</v>
      </c>
    </row>
    <row r="34" spans="1:7">
      <c r="A34" s="1">
        <v>44865</v>
      </c>
      <c r="B34">
        <f>35768.9</f>
        <v>35768.9</v>
      </c>
      <c r="C34" s="3">
        <v>2612914.5699999998</v>
      </c>
      <c r="D34">
        <f t="shared" si="0"/>
        <v>0.11846535902362318</v>
      </c>
      <c r="E34">
        <f t="shared" si="1"/>
        <v>-5.2106697655462993E-3</v>
      </c>
      <c r="F34" s="3">
        <v>101.6</v>
      </c>
      <c r="G34" s="3">
        <v>98.7</v>
      </c>
    </row>
    <row r="35" spans="1:7">
      <c r="A35" s="1">
        <v>44834</v>
      </c>
      <c r="B35">
        <f>36911.7</f>
        <v>36911.699999999997</v>
      </c>
      <c r="C35" s="3">
        <v>2626600.92</v>
      </c>
      <c r="D35">
        <f t="shared" si="0"/>
        <v>0.12112328096233359</v>
      </c>
      <c r="E35">
        <f t="shared" si="1"/>
        <v>1.2150990540221859E-2</v>
      </c>
      <c r="F35" s="3">
        <v>102.1</v>
      </c>
      <c r="G35" s="3">
        <v>100.9</v>
      </c>
    </row>
    <row r="36" spans="1:7">
      <c r="A36" s="1">
        <v>44804</v>
      </c>
      <c r="B36">
        <f>37662.1</f>
        <v>37662.1</v>
      </c>
      <c r="C36" s="3">
        <v>2595068.27</v>
      </c>
      <c r="D36">
        <f t="shared" si="0"/>
        <v>0.12230443406102524</v>
      </c>
      <c r="E36">
        <f t="shared" si="1"/>
        <v>6.5900629242654106E-3</v>
      </c>
      <c r="F36" s="3">
        <v>102.8</v>
      </c>
      <c r="G36" s="3">
        <v>102.3</v>
      </c>
    </row>
    <row r="37" spans="1:7">
      <c r="A37" s="1">
        <v>44773</v>
      </c>
      <c r="B37">
        <f>38224.9</f>
        <v>38224.9</v>
      </c>
      <c r="C37" s="3">
        <v>2578078.5699999998</v>
      </c>
      <c r="D37">
        <f t="shared" si="0"/>
        <v>0.11985504513334388</v>
      </c>
      <c r="E37">
        <f t="shared" si="1"/>
        <v>-1.3064860571450484E-3</v>
      </c>
      <c r="F37" s="3">
        <v>102.5</v>
      </c>
      <c r="G37" s="3">
        <v>104.2</v>
      </c>
    </row>
    <row r="38" spans="1:7">
      <c r="A38" s="1">
        <v>44742</v>
      </c>
      <c r="B38">
        <f>38533.2</f>
        <v>38533.199999999997</v>
      </c>
      <c r="C38" s="3">
        <v>2581451.2000000002</v>
      </c>
      <c r="D38">
        <f t="shared" si="0"/>
        <v>0.11375621888100272</v>
      </c>
      <c r="E38">
        <f t="shared" si="1"/>
        <v>2.1537193036170316E-2</v>
      </c>
      <c r="F38" s="3">
        <v>102.7</v>
      </c>
      <c r="G38" s="3">
        <v>106.1</v>
      </c>
    </row>
    <row r="39" spans="1:7">
      <c r="A39" s="1">
        <v>44712</v>
      </c>
      <c r="B39">
        <f>37876.2</f>
        <v>37876.199999999997</v>
      </c>
      <c r="C39" s="3">
        <v>2527026.15</v>
      </c>
      <c r="D39">
        <f t="shared" si="0"/>
        <v>0.11051807188618035</v>
      </c>
      <c r="E39">
        <f t="shared" si="1"/>
        <v>1.0927363640331368E-2</v>
      </c>
      <c r="F39" s="3">
        <v>102.5</v>
      </c>
      <c r="G39" s="3">
        <v>106.4</v>
      </c>
    </row>
    <row r="40" spans="1:7">
      <c r="A40" s="1">
        <v>44681</v>
      </c>
      <c r="B40">
        <f>37825.7</f>
        <v>37825.699999999997</v>
      </c>
      <c r="C40" s="3">
        <v>2499710.9</v>
      </c>
      <c r="D40">
        <f t="shared" si="0"/>
        <v>0.10503648474436515</v>
      </c>
      <c r="E40">
        <f t="shared" si="1"/>
        <v>8.0977276772651945E-4</v>
      </c>
      <c r="F40" s="3">
        <v>102.1</v>
      </c>
      <c r="G40" s="3">
        <v>108</v>
      </c>
    </row>
    <row r="41" spans="1:7">
      <c r="A41" s="1">
        <v>44651</v>
      </c>
      <c r="B41">
        <f>39395.7</f>
        <v>39395.699999999997</v>
      </c>
      <c r="C41" s="3">
        <v>2497688.34</v>
      </c>
      <c r="D41">
        <f t="shared" si="0"/>
        <v>9.7167147937868806E-2</v>
      </c>
      <c r="E41">
        <f t="shared" si="1"/>
        <v>2.3018511368206485E-2</v>
      </c>
      <c r="F41" s="3">
        <v>102.1</v>
      </c>
      <c r="G41" s="3">
        <v>108.3</v>
      </c>
    </row>
    <row r="42" spans="1:7">
      <c r="A42" s="1">
        <v>44620</v>
      </c>
      <c r="B42">
        <f>38696.7</f>
        <v>38696.699999999997</v>
      </c>
      <c r="C42" s="3">
        <v>2441488.9</v>
      </c>
      <c r="D42">
        <f t="shared" si="0"/>
        <v>9.1885447024317168E-2</v>
      </c>
      <c r="E42">
        <f t="shared" si="1"/>
        <v>4.305257994462389E-3</v>
      </c>
      <c r="F42" s="3">
        <v>101.5</v>
      </c>
      <c r="G42" s="3">
        <v>108.8</v>
      </c>
    </row>
    <row r="43" spans="1:7">
      <c r="A43" s="1">
        <v>44592</v>
      </c>
      <c r="B43">
        <f>38216.4</f>
        <v>38216.400000000001</v>
      </c>
      <c r="C43" s="3">
        <v>2431022.7200000002</v>
      </c>
      <c r="D43">
        <f t="shared" si="0"/>
        <v>9.8495584366919131E-2</v>
      </c>
      <c r="E43">
        <f t="shared" si="1"/>
        <v>2.0195211249273197E-2</v>
      </c>
      <c r="F43" s="3">
        <v>100.9</v>
      </c>
      <c r="G43" s="3">
        <v>109.1</v>
      </c>
    </row>
    <row r="44" spans="1:7">
      <c r="A44" s="1">
        <v>44561</v>
      </c>
      <c r="B44">
        <f>37490</f>
        <v>37490</v>
      </c>
      <c r="C44" s="3">
        <v>2382899.56</v>
      </c>
      <c r="D44">
        <f t="shared" si="0"/>
        <v>8.9676256891080913E-2</v>
      </c>
      <c r="E44">
        <f t="shared" si="1"/>
        <v>1.141199252248544E-2</v>
      </c>
      <c r="F44" s="3">
        <v>100.9</v>
      </c>
      <c r="G44" s="3">
        <v>110.3</v>
      </c>
    </row>
    <row r="45" spans="1:7">
      <c r="A45" s="1">
        <v>44530</v>
      </c>
      <c r="B45">
        <f>37018</f>
        <v>37018</v>
      </c>
      <c r="C45" s="3">
        <v>2356012.7599999998</v>
      </c>
      <c r="D45">
        <f t="shared" si="0"/>
        <v>8.4719150076504268E-2</v>
      </c>
      <c r="E45">
        <f t="shared" si="1"/>
        <v>8.4978237453960329E-3</v>
      </c>
      <c r="F45" s="3">
        <v>101.5</v>
      </c>
      <c r="G45" s="3">
        <v>112.9</v>
      </c>
    </row>
    <row r="46" spans="1:7">
      <c r="A46" s="1">
        <v>44500</v>
      </c>
      <c r="B46">
        <f>36470.6</f>
        <v>36470.6</v>
      </c>
      <c r="C46" s="3">
        <v>2336160.48</v>
      </c>
      <c r="D46">
        <f t="shared" si="0"/>
        <v>8.6727584789839815E-2</v>
      </c>
      <c r="E46">
        <f t="shared" si="1"/>
        <v>-2.8466516366939536E-3</v>
      </c>
      <c r="F46" s="3">
        <v>102.3</v>
      </c>
      <c r="G46" s="3">
        <v>113.5</v>
      </c>
    </row>
    <row r="47" spans="1:7">
      <c r="A47" s="1">
        <v>44469</v>
      </c>
      <c r="B47">
        <f>36352.3</f>
        <v>36352.300000000003</v>
      </c>
      <c r="C47" s="3">
        <v>2342829.7000000002</v>
      </c>
      <c r="D47">
        <f t="shared" si="0"/>
        <v>8.2596070172481412E-2</v>
      </c>
      <c r="E47">
        <f t="shared" si="1"/>
        <v>1.3217336497995776E-2</v>
      </c>
      <c r="F47" s="3">
        <v>101.5</v>
      </c>
      <c r="G47" s="3">
        <v>110.7</v>
      </c>
    </row>
    <row r="48" spans="1:7">
      <c r="A48" s="1">
        <v>44439</v>
      </c>
      <c r="B48">
        <f>35789.7</f>
        <v>35789.699999999997</v>
      </c>
      <c r="C48" s="3">
        <v>2312267.6800000002</v>
      </c>
      <c r="D48">
        <f t="shared" si="0"/>
        <v>8.2098343200183679E-2</v>
      </c>
      <c r="E48">
        <f t="shared" si="1"/>
        <v>4.3932164359027654E-3</v>
      </c>
      <c r="F48" s="3">
        <v>100.7</v>
      </c>
      <c r="G48" s="3">
        <v>109.5</v>
      </c>
    </row>
    <row r="49" spans="1:7">
      <c r="A49" s="1">
        <v>44408</v>
      </c>
      <c r="B49">
        <f>35629.3</f>
        <v>35629.300000000003</v>
      </c>
      <c r="C49" s="3">
        <v>2302153.8199999998</v>
      </c>
      <c r="D49">
        <f t="shared" si="0"/>
        <v>8.3132822083005972E-2</v>
      </c>
      <c r="E49">
        <f t="shared" si="1"/>
        <v>-6.745456259000299E-3</v>
      </c>
      <c r="F49" s="3">
        <v>100.8</v>
      </c>
      <c r="G49" s="3">
        <v>109</v>
      </c>
    </row>
    <row r="50" spans="1:7">
      <c r="A50" s="1">
        <v>44377</v>
      </c>
      <c r="B50">
        <f>35895.2</f>
        <v>35895.199999999997</v>
      </c>
      <c r="C50" s="3">
        <v>2317788.36</v>
      </c>
      <c r="D50">
        <f t="shared" si="0"/>
        <v>8.5641263148688418E-2</v>
      </c>
      <c r="E50">
        <f t="shared" si="1"/>
        <v>1.8567164644272483E-2</v>
      </c>
      <c r="F50" s="3">
        <v>101</v>
      </c>
      <c r="G50" s="3">
        <v>108.8</v>
      </c>
    </row>
    <row r="51" spans="1:7">
      <c r="A51" s="1">
        <v>44347</v>
      </c>
      <c r="B51">
        <f>35722.2</f>
        <v>35722.199999999997</v>
      </c>
      <c r="C51" s="3">
        <v>2275538.0699999998</v>
      </c>
      <c r="D51">
        <f t="shared" si="0"/>
        <v>8.3494756511161061E-2</v>
      </c>
      <c r="E51">
        <f t="shared" si="1"/>
        <v>5.9373625065110621E-3</v>
      </c>
      <c r="F51" s="3">
        <v>101.1</v>
      </c>
      <c r="G51" s="3">
        <v>109</v>
      </c>
    </row>
    <row r="52" spans="1:7">
      <c r="A52" s="1">
        <v>44316</v>
      </c>
      <c r="B52">
        <f>34936.6</f>
        <v>34936.6</v>
      </c>
      <c r="C52" s="3">
        <v>2262107.12</v>
      </c>
      <c r="D52">
        <f t="shared" si="0"/>
        <v>8.0520929532817739E-2</v>
      </c>
      <c r="E52">
        <f t="shared" si="1"/>
        <v>-6.317330535984083E-3</v>
      </c>
      <c r="F52" s="3">
        <v>101.3</v>
      </c>
      <c r="G52" s="3">
        <v>106.8</v>
      </c>
    </row>
    <row r="53" spans="1:7">
      <c r="A53" s="1">
        <v>44286</v>
      </c>
      <c r="B53">
        <f>34740.7</f>
        <v>34740.699999999997</v>
      </c>
      <c r="C53" s="3">
        <v>2276488.4500000002</v>
      </c>
      <c r="D53">
        <f t="shared" si="0"/>
        <v>9.3979931726559926E-2</v>
      </c>
      <c r="E53">
        <f t="shared" si="1"/>
        <v>1.8093757818823265E-2</v>
      </c>
      <c r="F53" s="3">
        <v>100.9</v>
      </c>
      <c r="G53" s="3">
        <v>104.4</v>
      </c>
    </row>
    <row r="54" spans="1:7">
      <c r="A54" s="1">
        <v>44255</v>
      </c>
      <c r="B54">
        <f>34540.2</f>
        <v>34540.199999999997</v>
      </c>
      <c r="C54" s="3">
        <v>2236030.2599999998</v>
      </c>
      <c r="D54">
        <f t="shared" si="0"/>
        <v>0.10104233124496917</v>
      </c>
      <c r="E54">
        <f t="shared" si="1"/>
        <v>1.0385195873781741E-2</v>
      </c>
      <c r="F54" s="3">
        <v>100.4</v>
      </c>
      <c r="G54" s="3">
        <v>101.7</v>
      </c>
    </row>
    <row r="55" spans="1:7">
      <c r="A55" s="1">
        <v>44227</v>
      </c>
      <c r="B55">
        <f>34426.6</f>
        <v>34426.6</v>
      </c>
      <c r="C55" s="3">
        <v>2213047.33</v>
      </c>
      <c r="D55">
        <f t="shared" si="0"/>
        <v>9.3907363370938982E-2</v>
      </c>
      <c r="E55">
        <f t="shared" si="1"/>
        <v>1.2004522287628747E-2</v>
      </c>
      <c r="F55" s="3">
        <v>99.8</v>
      </c>
      <c r="G55" s="3">
        <v>100.3</v>
      </c>
    </row>
    <row r="56" spans="1:7">
      <c r="A56" s="1">
        <v>44196</v>
      </c>
      <c r="B56">
        <f>33502.8</f>
        <v>33502.800000000003</v>
      </c>
      <c r="C56" s="3">
        <v>2186795.89</v>
      </c>
      <c r="D56">
        <f t="shared" si="0"/>
        <v>0.10083473311468225</v>
      </c>
      <c r="E56">
        <f t="shared" si="1"/>
        <v>6.810922022168122E-3</v>
      </c>
      <c r="F56" s="3">
        <v>99.7</v>
      </c>
      <c r="G56" s="3">
        <v>99.6</v>
      </c>
    </row>
    <row r="57" spans="1:7">
      <c r="A57" s="1">
        <v>44165</v>
      </c>
      <c r="B57">
        <f>33014.7</f>
        <v>33014.699999999997</v>
      </c>
      <c r="C57" s="3">
        <v>2172002.5499999998</v>
      </c>
      <c r="D57">
        <f t="shared" si="0"/>
        <v>0.10735689636491445</v>
      </c>
      <c r="E57">
        <f t="shared" si="1"/>
        <v>1.0365129247830231E-2</v>
      </c>
      <c r="F57" s="12">
        <v>100.2</v>
      </c>
      <c r="G57" s="3">
        <v>98.5</v>
      </c>
    </row>
    <row r="58" spans="1:7">
      <c r="A58" s="1">
        <v>44135</v>
      </c>
      <c r="B58">
        <f>32126.1</f>
        <v>32126.1</v>
      </c>
      <c r="C58" s="3">
        <v>2149720.42</v>
      </c>
      <c r="D58">
        <f t="shared" si="0"/>
        <v>0.1049135548404321</v>
      </c>
      <c r="E58">
        <f t="shared" si="1"/>
        <v>-6.6376234424824244E-3</v>
      </c>
      <c r="F58" s="12">
        <v>99.5</v>
      </c>
      <c r="G58" s="3">
        <v>97.9</v>
      </c>
    </row>
    <row r="59" spans="1:7">
      <c r="A59" s="1">
        <v>44104</v>
      </c>
      <c r="B59">
        <f>31867</f>
        <v>31867</v>
      </c>
      <c r="C59" s="3">
        <v>2164084.7999999998</v>
      </c>
      <c r="D59">
        <f t="shared" si="0"/>
        <v>0.10850775097000991</v>
      </c>
      <c r="E59">
        <f t="shared" si="1"/>
        <v>1.2751506618256451E-2</v>
      </c>
      <c r="F59" s="12">
        <v>100.5</v>
      </c>
      <c r="G59" s="3">
        <v>97.9</v>
      </c>
    </row>
    <row r="60" spans="1:7">
      <c r="A60" s="1">
        <v>44074</v>
      </c>
      <c r="B60">
        <f>31201.5</f>
        <v>31201.5</v>
      </c>
      <c r="C60" s="3">
        <v>2136836.91</v>
      </c>
      <c r="D60">
        <f t="shared" si="0"/>
        <v>0.10402752130629631</v>
      </c>
      <c r="E60">
        <f t="shared" si="1"/>
        <v>5.353409729776693E-3</v>
      </c>
      <c r="F60" s="12">
        <v>101.7</v>
      </c>
      <c r="G60" s="3">
        <v>98</v>
      </c>
    </row>
    <row r="61" spans="1:7">
      <c r="A61" s="1">
        <v>44043</v>
      </c>
      <c r="B61">
        <f>30471.7</f>
        <v>30471.7</v>
      </c>
      <c r="C61" s="3">
        <v>2125458.46</v>
      </c>
      <c r="D61">
        <f t="shared" si="0"/>
        <v>0.10734942090198277</v>
      </c>
      <c r="E61">
        <f t="shared" si="1"/>
        <v>-4.4451654401844896E-3</v>
      </c>
      <c r="F61" s="12">
        <v>102.4</v>
      </c>
      <c r="G61" s="3">
        <v>97.6</v>
      </c>
    </row>
    <row r="62" spans="1:7">
      <c r="A62" s="1">
        <v>44012</v>
      </c>
      <c r="B62">
        <f>30217</f>
        <v>30217</v>
      </c>
      <c r="C62" s="3">
        <v>2134948.66</v>
      </c>
      <c r="D62">
        <f t="shared" si="0"/>
        <v>0.11116524174470389</v>
      </c>
      <c r="E62">
        <f t="shared" si="1"/>
        <v>1.6553275476744678E-2</v>
      </c>
      <c r="F62" s="12">
        <v>102.7</v>
      </c>
      <c r="G62" s="3">
        <v>97</v>
      </c>
    </row>
    <row r="63" spans="1:7">
      <c r="A63" s="1">
        <v>43982</v>
      </c>
      <c r="B63">
        <f>29429.2</f>
        <v>29429.200000000001</v>
      </c>
      <c r="C63" s="3">
        <v>2100183.7400000002</v>
      </c>
      <c r="D63">
        <f t="shared" si="0"/>
        <v>0.11053043441154481</v>
      </c>
      <c r="E63">
        <f t="shared" si="1"/>
        <v>3.1764043669646118E-3</v>
      </c>
      <c r="F63" s="12">
        <v>102.5</v>
      </c>
      <c r="G63" s="3">
        <v>96.3</v>
      </c>
    </row>
    <row r="64" spans="1:7">
      <c r="A64" s="1">
        <v>43951</v>
      </c>
      <c r="C64" s="3">
        <v>2093533.83</v>
      </c>
      <c r="D64">
        <f t="shared" si="0"/>
        <v>0.11082229962202461</v>
      </c>
      <c r="E64">
        <f t="shared" si="1"/>
        <v>6.0600115984086886E-3</v>
      </c>
      <c r="F64" s="12">
        <v>102.4</v>
      </c>
      <c r="G64" s="3">
        <v>96.9</v>
      </c>
    </row>
    <row r="65" spans="1:7">
      <c r="A65" s="1">
        <v>43921</v>
      </c>
      <c r="C65" s="3">
        <v>2080923.41</v>
      </c>
      <c r="D65">
        <f t="shared" si="0"/>
        <v>0.10136024107477155</v>
      </c>
      <c r="E65">
        <f t="shared" si="1"/>
        <v>2.4666259430957307E-2</v>
      </c>
      <c r="F65" s="12">
        <v>103.3</v>
      </c>
      <c r="G65" s="3">
        <v>98.5</v>
      </c>
    </row>
    <row r="66" spans="1:7">
      <c r="A66" s="1">
        <v>43890</v>
      </c>
      <c r="C66" s="3">
        <v>2030830.42</v>
      </c>
      <c r="D66">
        <f t="shared" si="0"/>
        <v>8.750164296878038E-2</v>
      </c>
      <c r="E66">
        <f t="shared" si="1"/>
        <v>3.8377038215881547E-3</v>
      </c>
      <c r="F66" s="12">
        <v>104.3</v>
      </c>
      <c r="G66" s="3">
        <v>99.6</v>
      </c>
    </row>
    <row r="67" spans="1:7" s="14" customFormat="1">
      <c r="A67" s="13">
        <v>43861</v>
      </c>
      <c r="C67" s="15">
        <v>2023066.49</v>
      </c>
      <c r="D67" s="14">
        <f t="shared" si="0"/>
        <v>8.4210399724839291E-2</v>
      </c>
      <c r="E67" s="14">
        <f t="shared" si="1"/>
        <v>1.8413227213632102E-2</v>
      </c>
      <c r="F67" s="16">
        <v>105.2</v>
      </c>
      <c r="G67" s="15">
        <v>100.1</v>
      </c>
    </row>
    <row r="68" spans="1:7">
      <c r="A68" s="1">
        <v>43830</v>
      </c>
      <c r="C68" s="3">
        <v>1986488.82</v>
      </c>
      <c r="D68">
        <f t="shared" si="0"/>
        <v>8.7447710659787986E-2</v>
      </c>
      <c r="E68">
        <f t="shared" si="1"/>
        <v>1.2776018324104389E-2</v>
      </c>
      <c r="F68" s="12">
        <v>105.4</v>
      </c>
      <c r="G68" s="3">
        <v>99.5</v>
      </c>
    </row>
    <row r="69" spans="1:7">
      <c r="A69" s="1">
        <v>43799</v>
      </c>
      <c r="C69" s="3">
        <v>1961429.56</v>
      </c>
      <c r="D69">
        <f t="shared" ref="D69:D132" si="2">(C69-C81)/C81</f>
        <v>8.1765127070713581E-2</v>
      </c>
      <c r="E69">
        <f t="shared" ref="E69:E132" si="3">(C69-C70)/C70</f>
        <v>8.1357964254276192E-3</v>
      </c>
      <c r="F69" s="12">
        <v>104.5</v>
      </c>
      <c r="G69" s="3">
        <v>98.6</v>
      </c>
    </row>
    <row r="70" spans="1:7">
      <c r="A70" s="1">
        <v>43769</v>
      </c>
      <c r="C70" s="3">
        <v>1945600.55</v>
      </c>
      <c r="D70">
        <f t="shared" si="2"/>
        <v>8.3561015116384724E-2</v>
      </c>
      <c r="E70">
        <f t="shared" si="3"/>
        <v>-3.4062944453403334E-3</v>
      </c>
      <c r="F70" s="12">
        <v>104.5</v>
      </c>
      <c r="G70" s="3">
        <v>98.4</v>
      </c>
    </row>
    <row r="71" spans="1:7">
      <c r="A71" s="1">
        <v>43738</v>
      </c>
      <c r="C71" s="3">
        <v>1952250.49</v>
      </c>
      <c r="D71">
        <f t="shared" si="2"/>
        <v>8.3580944028469425E-2</v>
      </c>
      <c r="E71">
        <f t="shared" si="3"/>
        <v>8.6582927115866105E-3</v>
      </c>
      <c r="F71" s="12">
        <v>103.8</v>
      </c>
      <c r="G71" s="3">
        <v>98.8</v>
      </c>
    </row>
    <row r="72" spans="1:7">
      <c r="A72" s="1">
        <v>43708</v>
      </c>
      <c r="C72" s="3">
        <v>1935492.43</v>
      </c>
      <c r="D72">
        <f t="shared" si="2"/>
        <v>8.2084434078781077E-2</v>
      </c>
      <c r="E72">
        <f t="shared" si="3"/>
        <v>8.3784095788310021E-3</v>
      </c>
      <c r="F72" s="12">
        <v>103</v>
      </c>
      <c r="G72" s="3">
        <v>99.2</v>
      </c>
    </row>
    <row r="73" spans="1:7">
      <c r="A73" s="1">
        <v>43677</v>
      </c>
      <c r="C73" s="3">
        <v>1919410.82</v>
      </c>
      <c r="D73">
        <f t="shared" si="2"/>
        <v>8.0630009937359873E-2</v>
      </c>
      <c r="E73">
        <f t="shared" si="3"/>
        <v>-1.0145781151007813E-3</v>
      </c>
      <c r="F73" s="12">
        <v>102.8</v>
      </c>
      <c r="G73" s="3">
        <v>99.7</v>
      </c>
    </row>
    <row r="74" spans="1:7">
      <c r="A74" s="1">
        <v>43646</v>
      </c>
      <c r="C74" s="3">
        <v>1921360.19</v>
      </c>
      <c r="D74">
        <f t="shared" si="2"/>
        <v>8.5404851037695045E-2</v>
      </c>
      <c r="E74">
        <f t="shared" si="3"/>
        <v>1.5972519843310457E-2</v>
      </c>
      <c r="F74" s="12">
        <v>102.8</v>
      </c>
      <c r="G74" s="3">
        <v>100</v>
      </c>
    </row>
    <row r="75" spans="1:7">
      <c r="A75" s="1">
        <v>43616</v>
      </c>
      <c r="C75" s="3">
        <v>1891153.7</v>
      </c>
      <c r="D75">
        <f t="shared" si="2"/>
        <v>8.4959547005448333E-2</v>
      </c>
      <c r="E75">
        <f t="shared" si="3"/>
        <v>3.4400552164472599E-3</v>
      </c>
      <c r="F75" s="12">
        <v>102.7</v>
      </c>
      <c r="G75" s="3">
        <v>100.6</v>
      </c>
    </row>
    <row r="76" spans="1:7">
      <c r="A76" s="1">
        <v>43585</v>
      </c>
      <c r="C76" s="3">
        <v>1884670.33</v>
      </c>
      <c r="D76">
        <f t="shared" si="2"/>
        <v>8.458765968879739E-2</v>
      </c>
      <c r="E76">
        <f t="shared" si="3"/>
        <v>-2.5096747817021136E-3</v>
      </c>
      <c r="F76" s="12">
        <v>102.7</v>
      </c>
      <c r="G76" s="3">
        <v>100.9</v>
      </c>
    </row>
    <row r="77" spans="1:7">
      <c r="A77" s="1">
        <v>43555</v>
      </c>
      <c r="C77" s="3">
        <v>1889412.14</v>
      </c>
      <c r="D77">
        <f t="shared" si="2"/>
        <v>8.5956746345974971E-2</v>
      </c>
      <c r="E77">
        <f t="shared" si="3"/>
        <v>1.1772714383094211E-2</v>
      </c>
      <c r="F77" s="12">
        <v>102.5</v>
      </c>
      <c r="G77" s="3">
        <v>100.4</v>
      </c>
    </row>
    <row r="78" spans="1:7">
      <c r="A78" s="1">
        <v>43524</v>
      </c>
      <c r="C78" s="3">
        <v>1867427.45</v>
      </c>
      <c r="D78">
        <f t="shared" si="2"/>
        <v>8.0018345352009107E-2</v>
      </c>
      <c r="E78">
        <f t="shared" si="3"/>
        <v>7.996632980843333E-4</v>
      </c>
      <c r="F78" s="12">
        <v>102.3</v>
      </c>
      <c r="G78" s="3">
        <v>100.1</v>
      </c>
    </row>
    <row r="79" spans="1:7">
      <c r="A79" s="1">
        <v>43496</v>
      </c>
      <c r="C79" s="3">
        <v>1865935.33</v>
      </c>
      <c r="D79">
        <f t="shared" si="2"/>
        <v>8.4332665358937131E-2</v>
      </c>
      <c r="E79">
        <f t="shared" si="3"/>
        <v>2.145407636762639E-2</v>
      </c>
      <c r="F79" s="12">
        <v>101.5</v>
      </c>
      <c r="G79" s="3">
        <v>100.1</v>
      </c>
    </row>
    <row r="80" spans="1:7">
      <c r="A80" s="1">
        <v>43465</v>
      </c>
      <c r="C80" s="3">
        <v>1826744.22</v>
      </c>
      <c r="D80">
        <f t="shared" si="2"/>
        <v>8.0763257750188583E-2</v>
      </c>
      <c r="E80">
        <f t="shared" si="3"/>
        <v>7.4836402863182466E-3</v>
      </c>
      <c r="F80" s="12">
        <v>101.7</v>
      </c>
      <c r="G80" s="3">
        <v>100.9</v>
      </c>
    </row>
    <row r="81" spans="1:7">
      <c r="A81" s="1">
        <v>43434</v>
      </c>
      <c r="C81" s="3">
        <v>1813175.07</v>
      </c>
      <c r="D81">
        <f t="shared" si="2"/>
        <v>7.9812941096430515E-2</v>
      </c>
      <c r="E81">
        <f t="shared" si="3"/>
        <v>9.8094490325477957E-3</v>
      </c>
      <c r="F81" s="12">
        <v>101.9</v>
      </c>
      <c r="G81" s="3">
        <v>102.7</v>
      </c>
    </row>
    <row r="82" spans="1:7">
      <c r="A82" s="1">
        <v>43404</v>
      </c>
      <c r="C82" s="3">
        <v>1795561.6</v>
      </c>
      <c r="D82">
        <f t="shared" si="2"/>
        <v>8.0069561913310244E-2</v>
      </c>
      <c r="E82">
        <f t="shared" si="3"/>
        <v>-3.3879650406597552E-3</v>
      </c>
      <c r="F82" s="12">
        <v>102.2</v>
      </c>
      <c r="G82" s="3">
        <v>103.3</v>
      </c>
    </row>
    <row r="83" spans="1:7">
      <c r="A83" s="1">
        <v>43373</v>
      </c>
      <c r="C83" s="3">
        <v>1801665.58</v>
      </c>
      <c r="D83">
        <f t="shared" si="2"/>
        <v>8.2949056993739834E-2</v>
      </c>
      <c r="E83">
        <f t="shared" si="3"/>
        <v>7.2652567974750611E-3</v>
      </c>
      <c r="F83" s="12">
        <v>102.5</v>
      </c>
      <c r="G83" s="3">
        <v>103.6</v>
      </c>
    </row>
    <row r="84" spans="1:7">
      <c r="A84" s="1">
        <v>43343</v>
      </c>
      <c r="C84" s="3">
        <v>1788670.43</v>
      </c>
      <c r="D84">
        <f t="shared" si="2"/>
        <v>8.2109774461653975E-2</v>
      </c>
      <c r="E84">
        <f t="shared" si="3"/>
        <v>7.0230533271463088E-3</v>
      </c>
      <c r="F84" s="12">
        <v>102.5</v>
      </c>
      <c r="G84" s="3">
        <v>104.1</v>
      </c>
    </row>
    <row r="85" spans="1:7">
      <c r="A85" s="1">
        <v>43312</v>
      </c>
      <c r="C85" s="3">
        <v>1776196.11</v>
      </c>
      <c r="D85">
        <f t="shared" si="2"/>
        <v>8.54681210080947E-2</v>
      </c>
      <c r="E85">
        <f t="shared" si="3"/>
        <v>3.3995105250325653E-3</v>
      </c>
      <c r="F85" s="12">
        <v>102.3</v>
      </c>
      <c r="G85" s="3">
        <v>104.6</v>
      </c>
    </row>
    <row r="86" spans="1:7">
      <c r="A86" s="1">
        <v>43281</v>
      </c>
      <c r="C86" s="3">
        <v>1770178.37</v>
      </c>
      <c r="D86">
        <f t="shared" si="2"/>
        <v>7.9708176358109367E-2</v>
      </c>
      <c r="E86">
        <f t="shared" si="3"/>
        <v>1.5555701492714775E-2</v>
      </c>
      <c r="F86" s="12">
        <v>102.1</v>
      </c>
      <c r="G86" s="3">
        <v>104.7</v>
      </c>
    </row>
    <row r="87" spans="1:7">
      <c r="A87" s="1">
        <v>43251</v>
      </c>
      <c r="C87" s="3">
        <v>1743063.79</v>
      </c>
      <c r="D87">
        <f t="shared" si="2"/>
        <v>8.2822664670411508E-2</v>
      </c>
      <c r="E87">
        <f t="shared" si="3"/>
        <v>3.096110015370896E-3</v>
      </c>
      <c r="F87" s="12">
        <v>101.9</v>
      </c>
      <c r="G87" s="3">
        <v>104.1</v>
      </c>
    </row>
    <row r="88" spans="1:7">
      <c r="A88" s="1">
        <v>43220</v>
      </c>
      <c r="C88" s="3">
        <v>1737683.73</v>
      </c>
      <c r="D88">
        <f t="shared" si="2"/>
        <v>8.3398789679407906E-2</v>
      </c>
      <c r="E88">
        <f t="shared" si="3"/>
        <v>-1.2505320257242844E-3</v>
      </c>
      <c r="F88" s="12">
        <v>101.8</v>
      </c>
      <c r="G88" s="3">
        <v>103.4</v>
      </c>
    </row>
    <row r="89" spans="1:7">
      <c r="A89" s="1">
        <v>43190</v>
      </c>
      <c r="C89" s="3">
        <v>1739859.48</v>
      </c>
      <c r="D89">
        <f t="shared" si="2"/>
        <v>8.204322529701967E-2</v>
      </c>
      <c r="E89">
        <f t="shared" si="3"/>
        <v>6.2399782838187439E-3</v>
      </c>
      <c r="F89" s="12">
        <v>101.8</v>
      </c>
      <c r="G89" s="3">
        <v>103.1</v>
      </c>
    </row>
    <row r="90" spans="1:7">
      <c r="A90" s="1">
        <v>43159</v>
      </c>
      <c r="C90" s="3">
        <v>1729070.12</v>
      </c>
      <c r="D90">
        <f t="shared" si="2"/>
        <v>8.7563296573213892E-2</v>
      </c>
      <c r="E90">
        <f t="shared" si="3"/>
        <v>4.7975305832798206E-3</v>
      </c>
      <c r="F90" s="12">
        <v>102.1</v>
      </c>
      <c r="G90" s="3">
        <v>103.7</v>
      </c>
    </row>
    <row r="91" spans="1:7">
      <c r="A91" s="1">
        <v>43131</v>
      </c>
      <c r="C91" s="3">
        <v>1720814.46</v>
      </c>
      <c r="D91">
        <f t="shared" si="2"/>
        <v>8.6239344238121796E-2</v>
      </c>
      <c r="E91">
        <f t="shared" si="3"/>
        <v>1.8091652575877085E-2</v>
      </c>
      <c r="F91" s="12">
        <v>102.9</v>
      </c>
      <c r="G91" s="3">
        <v>104.3</v>
      </c>
    </row>
    <row r="92" spans="1:7">
      <c r="A92" s="1">
        <v>43100</v>
      </c>
      <c r="C92" s="3">
        <v>1690235.31</v>
      </c>
      <c r="D92">
        <f t="shared" si="2"/>
        <v>9.0427491096237905E-2</v>
      </c>
      <c r="E92">
        <f t="shared" si="3"/>
        <v>6.5977585033401998E-3</v>
      </c>
      <c r="F92" s="12">
        <v>101.5</v>
      </c>
      <c r="G92" s="3">
        <v>104.9</v>
      </c>
    </row>
    <row r="93" spans="1:7">
      <c r="A93" s="1">
        <v>43069</v>
      </c>
      <c r="C93" s="3">
        <v>1679156.64</v>
      </c>
      <c r="D93">
        <f t="shared" si="2"/>
        <v>9.7178165491384069E-2</v>
      </c>
      <c r="E93">
        <f t="shared" si="3"/>
        <v>1.004943330745422E-2</v>
      </c>
      <c r="F93" s="12">
        <v>101.8</v>
      </c>
      <c r="G93" s="3">
        <v>105.8</v>
      </c>
    </row>
    <row r="94" spans="1:7">
      <c r="A94" s="1">
        <v>43039</v>
      </c>
      <c r="C94" s="3">
        <v>1662449.96</v>
      </c>
      <c r="D94">
        <f t="shared" si="2"/>
        <v>9.4087485144641769E-2</v>
      </c>
      <c r="E94">
        <f t="shared" si="3"/>
        <v>-7.3097001648863593E-4</v>
      </c>
      <c r="F94" s="12">
        <v>101.7</v>
      </c>
      <c r="G94" s="3">
        <v>106.9</v>
      </c>
    </row>
    <row r="95" spans="1:7">
      <c r="A95" s="1">
        <v>43008</v>
      </c>
      <c r="C95" s="3">
        <v>1663666.05</v>
      </c>
      <c r="D95">
        <f t="shared" si="2"/>
        <v>9.7144148769372482E-2</v>
      </c>
      <c r="E95">
        <f t="shared" si="3"/>
        <v>6.4846290017836622E-3</v>
      </c>
      <c r="F95" s="12">
        <v>101.9</v>
      </c>
      <c r="G95" s="3">
        <v>106.9</v>
      </c>
    </row>
    <row r="96" spans="1:7">
      <c r="A96" s="1">
        <v>42978</v>
      </c>
      <c r="C96" s="3">
        <v>1652947.3</v>
      </c>
      <c r="D96">
        <f t="shared" si="2"/>
        <v>9.395499383907667E-2</v>
      </c>
      <c r="E96">
        <f t="shared" si="3"/>
        <v>1.0148366925768884E-2</v>
      </c>
      <c r="F96" s="12">
        <v>101.6</v>
      </c>
      <c r="G96" s="3">
        <v>106.3</v>
      </c>
    </row>
    <row r="97" spans="1:7">
      <c r="A97" s="1">
        <v>42947</v>
      </c>
      <c r="C97" s="3">
        <v>1636341.11</v>
      </c>
      <c r="D97">
        <f t="shared" si="2"/>
        <v>9.7067844570008027E-2</v>
      </c>
      <c r="E97">
        <f t="shared" si="3"/>
        <v>-1.924943994257229E-3</v>
      </c>
      <c r="F97" s="12">
        <v>101.8</v>
      </c>
      <c r="G97" s="3">
        <v>105.5</v>
      </c>
    </row>
    <row r="98" spans="1:7">
      <c r="A98" s="1">
        <v>42916</v>
      </c>
      <c r="C98" s="3">
        <v>1639497.05</v>
      </c>
      <c r="D98">
        <f t="shared" si="2"/>
        <v>9.9970504367004789E-2</v>
      </c>
      <c r="E98">
        <f t="shared" si="3"/>
        <v>1.8485137827502517E-2</v>
      </c>
      <c r="F98" s="12">
        <v>101.4</v>
      </c>
      <c r="G98" s="3">
        <v>105.5</v>
      </c>
    </row>
    <row r="99" spans="1:7">
      <c r="A99" s="1">
        <v>42886</v>
      </c>
      <c r="C99" s="3">
        <v>1609740.77</v>
      </c>
      <c r="D99">
        <f t="shared" si="2"/>
        <v>0.10128354332388777</v>
      </c>
      <c r="E99">
        <f t="shared" si="3"/>
        <v>3.6298158328260141E-3</v>
      </c>
      <c r="F99" s="12">
        <v>101.5</v>
      </c>
      <c r="G99" s="3">
        <v>105.5</v>
      </c>
    </row>
    <row r="100" spans="1:7">
      <c r="A100" s="1">
        <v>42855</v>
      </c>
      <c r="C100" s="3">
        <v>1603918.84</v>
      </c>
      <c r="D100">
        <f t="shared" si="2"/>
        <v>0.10981746253150727</v>
      </c>
      <c r="E100">
        <f t="shared" si="3"/>
        <v>-2.5001819409837915E-3</v>
      </c>
      <c r="F100" s="12">
        <v>101.5</v>
      </c>
      <c r="G100" s="3">
        <v>106.4</v>
      </c>
    </row>
    <row r="101" spans="1:7">
      <c r="A101" s="1">
        <v>42825</v>
      </c>
      <c r="C101" s="3">
        <v>1607938.98</v>
      </c>
      <c r="D101">
        <f t="shared" si="2"/>
        <v>0.11183872930597198</v>
      </c>
      <c r="E101">
        <f t="shared" si="3"/>
        <v>1.13733373504661E-2</v>
      </c>
      <c r="F101" s="12">
        <v>101.2</v>
      </c>
      <c r="G101" s="3">
        <v>107.6</v>
      </c>
    </row>
    <row r="102" spans="1:7">
      <c r="A102" s="1">
        <v>42794</v>
      </c>
      <c r="C102" s="3">
        <v>1589857</v>
      </c>
      <c r="D102">
        <f t="shared" si="2"/>
        <v>0.11598775329830721</v>
      </c>
      <c r="E102">
        <f t="shared" si="3"/>
        <v>3.5743336980023112E-3</v>
      </c>
      <c r="F102" s="12">
        <v>100.9</v>
      </c>
      <c r="G102" s="3">
        <v>107.8</v>
      </c>
    </row>
    <row r="103" spans="1:7">
      <c r="A103" s="1">
        <v>42766</v>
      </c>
      <c r="C103" s="3">
        <v>1584194.5600000001</v>
      </c>
      <c r="D103">
        <f t="shared" si="2"/>
        <v>0.11852904946486123</v>
      </c>
      <c r="E103">
        <f t="shared" si="3"/>
        <v>2.2017046531295412E-2</v>
      </c>
      <c r="F103" s="12">
        <v>100.8</v>
      </c>
      <c r="G103" s="3">
        <v>106.9</v>
      </c>
    </row>
    <row r="104" spans="1:7">
      <c r="A104" s="1">
        <v>42735</v>
      </c>
      <c r="C104" s="3">
        <v>1550066.67</v>
      </c>
      <c r="D104">
        <f t="shared" si="2"/>
        <v>0.11333120794379208</v>
      </c>
      <c r="E104">
        <f t="shared" si="3"/>
        <v>1.2829455493764205E-2</v>
      </c>
      <c r="F104" s="12">
        <v>102.5</v>
      </c>
      <c r="G104" s="3">
        <v>105.5</v>
      </c>
    </row>
    <row r="105" spans="1:7">
      <c r="A105" s="1">
        <v>42704</v>
      </c>
      <c r="C105" s="3">
        <v>1530432.06</v>
      </c>
      <c r="D105">
        <f t="shared" si="2"/>
        <v>0.11388723427906548</v>
      </c>
      <c r="E105">
        <f t="shared" si="3"/>
        <v>7.2041889971434731E-3</v>
      </c>
      <c r="F105" s="12">
        <v>102.1</v>
      </c>
      <c r="G105" s="3">
        <v>103.3</v>
      </c>
    </row>
    <row r="106" spans="1:7">
      <c r="A106" s="1">
        <v>42674</v>
      </c>
      <c r="C106" s="3">
        <v>1519485.4</v>
      </c>
      <c r="D106">
        <f t="shared" si="2"/>
        <v>0.11643077875303437</v>
      </c>
      <c r="E106">
        <f t="shared" si="3"/>
        <v>2.0607896341271795E-3</v>
      </c>
      <c r="F106" s="12">
        <v>102.3</v>
      </c>
      <c r="G106" s="3">
        <v>101.2</v>
      </c>
    </row>
    <row r="107" spans="1:7">
      <c r="A107" s="1">
        <v>42643</v>
      </c>
      <c r="C107" s="3">
        <v>1516360.5</v>
      </c>
      <c r="D107">
        <f t="shared" si="2"/>
        <v>0.1151152157140093</v>
      </c>
      <c r="E107">
        <f t="shared" si="3"/>
        <v>3.5590012067046369E-3</v>
      </c>
      <c r="F107" s="12">
        <v>102.1</v>
      </c>
      <c r="G107" s="3">
        <v>100.1</v>
      </c>
    </row>
    <row r="108" spans="1:7">
      <c r="A108" s="1">
        <v>42613</v>
      </c>
      <c r="C108" s="3">
        <v>1510982.91</v>
      </c>
      <c r="D108">
        <f t="shared" si="2"/>
        <v>0.11354854733774941</v>
      </c>
      <c r="E108">
        <f t="shared" si="3"/>
        <v>1.3022745762231837E-2</v>
      </c>
      <c r="F108" s="12">
        <v>101.9</v>
      </c>
      <c r="G108" s="3">
        <v>99.2</v>
      </c>
    </row>
    <row r="109" spans="1:7">
      <c r="A109" s="1">
        <v>42582</v>
      </c>
      <c r="C109" s="3">
        <v>1491558.72</v>
      </c>
      <c r="D109">
        <f t="shared" si="2"/>
        <v>0.10223668605925827</v>
      </c>
      <c r="E109">
        <f t="shared" si="3"/>
        <v>7.1579728149190694E-4</v>
      </c>
      <c r="F109" s="12">
        <v>101.3</v>
      </c>
      <c r="G109" s="3">
        <v>98.3</v>
      </c>
    </row>
    <row r="110" spans="1:7">
      <c r="A110" s="1">
        <v>42551</v>
      </c>
      <c r="C110" s="3">
        <v>1490491.83</v>
      </c>
      <c r="D110">
        <f t="shared" si="2"/>
        <v>0.11783363838371812</v>
      </c>
      <c r="E110">
        <f t="shared" si="3"/>
        <v>1.970090739374504E-2</v>
      </c>
      <c r="F110" s="12">
        <v>101.8</v>
      </c>
      <c r="G110" s="3">
        <v>97.4</v>
      </c>
    </row>
    <row r="111" spans="1:7">
      <c r="A111" s="1">
        <v>42521</v>
      </c>
      <c r="C111" s="3">
        <v>1461695.11</v>
      </c>
      <c r="D111">
        <f t="shared" si="2"/>
        <v>0.11805299212580435</v>
      </c>
      <c r="E111">
        <f t="shared" si="3"/>
        <v>1.1407009830318119E-2</v>
      </c>
      <c r="F111" s="12">
        <v>101.9</v>
      </c>
      <c r="G111" s="3">
        <v>97.2</v>
      </c>
    </row>
    <row r="112" spans="1:7">
      <c r="A112" s="1">
        <v>42490</v>
      </c>
      <c r="C112" s="3">
        <v>1445209.59</v>
      </c>
      <c r="D112">
        <f t="shared" si="2"/>
        <v>0.12838314184286309</v>
      </c>
      <c r="E112">
        <f t="shared" si="3"/>
        <v>-6.8347486270600439E-4</v>
      </c>
      <c r="F112" s="12">
        <v>102</v>
      </c>
      <c r="G112" s="3">
        <v>96.6</v>
      </c>
    </row>
    <row r="113" spans="1:7">
      <c r="A113" s="1">
        <v>42460</v>
      </c>
      <c r="C113" s="3">
        <v>1446198.03</v>
      </c>
      <c r="D113">
        <f t="shared" si="2"/>
        <v>0.13397699226393286</v>
      </c>
      <c r="E113">
        <f t="shared" si="3"/>
        <v>1.5147456861930305E-2</v>
      </c>
      <c r="F113" s="12">
        <v>102.3</v>
      </c>
      <c r="G113" s="3">
        <v>95.7</v>
      </c>
    </row>
    <row r="114" spans="1:7">
      <c r="A114" s="1">
        <v>42429</v>
      </c>
      <c r="C114" s="3">
        <v>1424618.68</v>
      </c>
      <c r="D114">
        <f t="shared" si="2"/>
        <v>0.13300524595387384</v>
      </c>
      <c r="E114">
        <f t="shared" si="3"/>
        <v>5.8596451627034932E-3</v>
      </c>
      <c r="F114" s="12">
        <v>102.3</v>
      </c>
      <c r="G114" s="3">
        <v>95.1</v>
      </c>
    </row>
    <row r="115" spans="1:7">
      <c r="A115" s="1">
        <v>42400</v>
      </c>
      <c r="C115" s="3">
        <v>1416319.55</v>
      </c>
      <c r="D115">
        <f t="shared" si="2"/>
        <v>0.13970218254099501</v>
      </c>
      <c r="E115">
        <f t="shared" si="3"/>
        <v>1.7267699482828143E-2</v>
      </c>
      <c r="F115" s="12">
        <v>102.3</v>
      </c>
      <c r="G115" s="3">
        <v>94.7</v>
      </c>
    </row>
    <row r="116" spans="1:7">
      <c r="A116" s="1">
        <v>42369</v>
      </c>
      <c r="C116" s="3">
        <v>1392278.11</v>
      </c>
      <c r="D116">
        <f t="shared" si="2"/>
        <v>0.13343101687342485</v>
      </c>
      <c r="E116">
        <f t="shared" si="3"/>
        <v>1.3335288660369914E-2</v>
      </c>
      <c r="F116" s="12">
        <v>101.8</v>
      </c>
      <c r="G116" s="3">
        <v>94.1</v>
      </c>
    </row>
    <row r="117" spans="1:7">
      <c r="A117" s="1">
        <v>42338</v>
      </c>
      <c r="C117" s="3">
        <v>1373956.01</v>
      </c>
      <c r="D117">
        <f t="shared" si="2"/>
        <v>0.13681056261554897</v>
      </c>
      <c r="E117">
        <f t="shared" si="3"/>
        <v>9.5041243678366215E-3</v>
      </c>
      <c r="G117" s="3">
        <v>94.1</v>
      </c>
    </row>
    <row r="118" spans="1:7">
      <c r="A118" s="1">
        <v>42308</v>
      </c>
      <c r="C118" s="3">
        <v>1361020.7</v>
      </c>
      <c r="D118">
        <f t="shared" si="2"/>
        <v>0.13490618041743574</v>
      </c>
      <c r="E118">
        <f t="shared" si="3"/>
        <v>8.7999619597839559E-4</v>
      </c>
      <c r="G118" s="3">
        <v>94.1</v>
      </c>
    </row>
    <row r="119" spans="1:7">
      <c r="A119" s="1">
        <v>42277</v>
      </c>
      <c r="C119" s="3">
        <v>1359824.06</v>
      </c>
      <c r="D119">
        <f t="shared" si="2"/>
        <v>0.13125283052577605</v>
      </c>
      <c r="E119">
        <f t="shared" si="3"/>
        <v>2.1490624589001789E-3</v>
      </c>
      <c r="G119" s="3">
        <v>94.1</v>
      </c>
    </row>
    <row r="120" spans="1:7">
      <c r="A120" s="1">
        <v>42247</v>
      </c>
      <c r="C120" s="3">
        <v>1356907.98</v>
      </c>
      <c r="D120">
        <f t="shared" si="2"/>
        <v>0.13311818160227723</v>
      </c>
      <c r="E120">
        <f t="shared" si="3"/>
        <v>2.7320648580045868E-3</v>
      </c>
      <c r="G120" s="3">
        <v>94.1</v>
      </c>
    </row>
    <row r="121" spans="1:7">
      <c r="A121" s="1">
        <v>42216</v>
      </c>
      <c r="C121" s="3">
        <v>1353210.92</v>
      </c>
      <c r="D121">
        <f t="shared" si="2"/>
        <v>0.13310595031234848</v>
      </c>
      <c r="E121">
        <f t="shared" si="3"/>
        <v>1.4876201102141128E-2</v>
      </c>
      <c r="G121" s="3">
        <v>94.6</v>
      </c>
    </row>
    <row r="122" spans="1:7">
      <c r="A122" s="1">
        <v>42185</v>
      </c>
      <c r="C122" s="3">
        <v>1333375.3600000001</v>
      </c>
      <c r="D122">
        <f t="shared" si="2"/>
        <v>0.10233917819236195</v>
      </c>
      <c r="E122">
        <f t="shared" si="3"/>
        <v>1.9901004440537221E-2</v>
      </c>
      <c r="G122" s="3">
        <v>95.2</v>
      </c>
    </row>
    <row r="123" spans="1:7">
      <c r="A123" s="1">
        <v>42155</v>
      </c>
      <c r="C123" s="3">
        <v>1307357.6299999999</v>
      </c>
      <c r="D123">
        <f t="shared" si="2"/>
        <v>0.10578052010009417</v>
      </c>
      <c r="E123">
        <f t="shared" si="3"/>
        <v>2.0751813618700873E-2</v>
      </c>
      <c r="G123" s="3">
        <v>95.4</v>
      </c>
    </row>
    <row r="124" spans="1:7">
      <c r="A124" s="1">
        <v>42124</v>
      </c>
      <c r="C124" s="3">
        <v>1280779.1399999999</v>
      </c>
      <c r="D124">
        <f t="shared" si="2"/>
        <v>9.5795051571437861E-2</v>
      </c>
      <c r="E124">
        <f t="shared" si="3"/>
        <v>4.2705402742018988E-3</v>
      </c>
      <c r="G124" s="3">
        <v>95.4</v>
      </c>
    </row>
    <row r="125" spans="1:7">
      <c r="A125" s="1">
        <v>42094</v>
      </c>
      <c r="C125" s="3">
        <v>1275332.78</v>
      </c>
      <c r="D125">
        <f t="shared" si="2"/>
        <v>9.8773711143477883E-2</v>
      </c>
      <c r="E125">
        <f t="shared" si="3"/>
        <v>1.4277539921726833E-2</v>
      </c>
      <c r="G125" s="3">
        <v>95.4</v>
      </c>
    </row>
    <row r="126" spans="1:7">
      <c r="A126" s="1">
        <v>42063</v>
      </c>
      <c r="C126" s="3">
        <v>1257380.48</v>
      </c>
      <c r="D126">
        <f t="shared" si="2"/>
        <v>0.11099487336030166</v>
      </c>
      <c r="E126">
        <f t="shared" si="3"/>
        <v>1.1805052991356271E-2</v>
      </c>
      <c r="G126" s="3">
        <v>95.2</v>
      </c>
    </row>
    <row r="127" spans="1:7">
      <c r="A127" s="1">
        <v>42035</v>
      </c>
      <c r="C127" s="3">
        <v>1242710.22</v>
      </c>
      <c r="D127">
        <f t="shared" si="2"/>
        <v>0.10608523358450885</v>
      </c>
      <c r="E127">
        <f t="shared" si="3"/>
        <v>1.1670224660500744E-2</v>
      </c>
      <c r="G127" s="3">
        <v>95.7</v>
      </c>
    </row>
    <row r="128" spans="1:7">
      <c r="A128" s="1">
        <v>42004</v>
      </c>
      <c r="C128" s="3">
        <v>1228374.81</v>
      </c>
      <c r="D128">
        <f t="shared" si="2"/>
        <v>0.11011936666807114</v>
      </c>
      <c r="E128">
        <f t="shared" si="3"/>
        <v>1.6356745554661635E-2</v>
      </c>
      <c r="G128" s="3">
        <v>96.7</v>
      </c>
    </row>
    <row r="129" spans="1:7">
      <c r="A129" s="1">
        <v>41973</v>
      </c>
      <c r="C129" s="3">
        <v>1208605.95</v>
      </c>
      <c r="D129">
        <f t="shared" si="2"/>
        <v>0.11984993639976735</v>
      </c>
      <c r="E129">
        <f t="shared" si="3"/>
        <v>7.8130055952024147E-3</v>
      </c>
      <c r="G129" s="3">
        <v>97.3</v>
      </c>
    </row>
    <row r="130" spans="1:7">
      <c r="A130" s="1">
        <v>41943</v>
      </c>
      <c r="C130" s="3">
        <v>1199236.31</v>
      </c>
      <c r="D130">
        <f t="shared" si="2"/>
        <v>0.12052799227673877</v>
      </c>
      <c r="E130">
        <f t="shared" si="3"/>
        <v>-2.3419131466264494E-3</v>
      </c>
      <c r="G130" s="3">
        <v>97.8</v>
      </c>
    </row>
    <row r="131" spans="1:7">
      <c r="A131" s="1">
        <v>41912</v>
      </c>
      <c r="C131" s="3">
        <v>1202051.4099999999</v>
      </c>
      <c r="D131">
        <f t="shared" si="2"/>
        <v>0.11571808201673403</v>
      </c>
      <c r="E131">
        <f t="shared" si="3"/>
        <v>3.8015311043076887E-3</v>
      </c>
      <c r="G131" s="3">
        <v>98.2</v>
      </c>
    </row>
    <row r="132" spans="1:7">
      <c r="A132" s="1">
        <v>41882</v>
      </c>
      <c r="C132" s="3">
        <v>1197499.08</v>
      </c>
      <c r="D132">
        <f t="shared" si="2"/>
        <v>0.12837863323947082</v>
      </c>
      <c r="E132">
        <f t="shared" si="3"/>
        <v>2.7212410032599926E-3</v>
      </c>
      <c r="G132" s="3">
        <v>98.8</v>
      </c>
    </row>
    <row r="133" spans="1:7">
      <c r="A133" s="1">
        <v>41851</v>
      </c>
      <c r="C133" s="3">
        <v>1194249.24</v>
      </c>
      <c r="D133">
        <f t="shared" ref="D133:D175" si="4">(C133-C145)/C145</f>
        <v>0.13498881794144316</v>
      </c>
      <c r="E133">
        <f t="shared" ref="E133:E175" si="5">(C133-C134)/C134</f>
        <v>-1.2680325982285497E-2</v>
      </c>
      <c r="G133" s="3">
        <v>99.1</v>
      </c>
    </row>
    <row r="134" spans="1:7">
      <c r="A134" s="1">
        <v>41820</v>
      </c>
      <c r="C134" s="3">
        <v>1209587.2</v>
      </c>
      <c r="D134">
        <f t="shared" si="4"/>
        <v>0.14717656194848863</v>
      </c>
      <c r="E134">
        <f t="shared" si="5"/>
        <v>2.3084986410655428E-2</v>
      </c>
      <c r="G134" s="3">
        <v>98.9</v>
      </c>
    </row>
    <row r="135" spans="1:7">
      <c r="A135" s="1">
        <v>41790</v>
      </c>
      <c r="C135" s="3">
        <v>1182293.96</v>
      </c>
      <c r="D135">
        <f t="shared" si="4"/>
        <v>0.13445494779369591</v>
      </c>
      <c r="E135">
        <f t="shared" si="5"/>
        <v>1.1534175104381815E-2</v>
      </c>
      <c r="G135" s="3">
        <v>98.6</v>
      </c>
    </row>
    <row r="136" spans="1:7">
      <c r="A136" s="1">
        <v>41759</v>
      </c>
      <c r="C136" s="3">
        <v>1168812.67</v>
      </c>
      <c r="D136">
        <f t="shared" si="4"/>
        <v>0.1319650566717275</v>
      </c>
      <c r="E136">
        <f t="shared" si="5"/>
        <v>7.0004121178607439E-3</v>
      </c>
      <c r="G136" s="3">
        <v>98</v>
      </c>
    </row>
    <row r="137" spans="1:7">
      <c r="A137" s="1">
        <v>41729</v>
      </c>
      <c r="C137" s="3">
        <v>1160687.3799999999</v>
      </c>
      <c r="D137">
        <f t="shared" si="4"/>
        <v>0.12050779683326775</v>
      </c>
      <c r="E137">
        <f t="shared" si="5"/>
        <v>2.5558889504949393E-2</v>
      </c>
      <c r="G137" s="3">
        <v>97.7</v>
      </c>
    </row>
    <row r="138" spans="1:7">
      <c r="A138" s="1">
        <v>41698</v>
      </c>
      <c r="C138" s="3">
        <v>1131760.83</v>
      </c>
      <c r="D138">
        <f t="shared" si="4"/>
        <v>0.13334657452668061</v>
      </c>
      <c r="E138">
        <f t="shared" si="5"/>
        <v>7.3337467300685069E-3</v>
      </c>
      <c r="G138" s="3">
        <v>98</v>
      </c>
    </row>
    <row r="139" spans="1:7">
      <c r="A139" s="1">
        <v>41670</v>
      </c>
      <c r="C139" s="3">
        <v>1123521.21</v>
      </c>
      <c r="D139">
        <f t="shared" si="4"/>
        <v>0.13243431740370518</v>
      </c>
      <c r="E139">
        <f t="shared" si="5"/>
        <v>1.5360005700006864E-2</v>
      </c>
      <c r="G139" s="3">
        <v>98.4</v>
      </c>
    </row>
    <row r="140" spans="1:7">
      <c r="A140" s="1">
        <v>41639</v>
      </c>
      <c r="C140" s="3">
        <v>1106524.98</v>
      </c>
      <c r="D140">
        <f t="shared" si="4"/>
        <v>0.13587664590353618</v>
      </c>
      <c r="E140">
        <f t="shared" si="5"/>
        <v>2.5265454367284772E-2</v>
      </c>
      <c r="G140" s="3">
        <v>98.6</v>
      </c>
    </row>
    <row r="141" spans="1:7">
      <c r="A141" s="1">
        <v>41608</v>
      </c>
      <c r="C141" s="3">
        <v>1079257.06</v>
      </c>
      <c r="D141">
        <f t="shared" si="4"/>
        <v>0.14227355031432032</v>
      </c>
      <c r="E141">
        <f t="shared" si="5"/>
        <v>8.4232244371384938E-3</v>
      </c>
      <c r="G141" s="3">
        <v>98.6</v>
      </c>
    </row>
    <row r="142" spans="1:7">
      <c r="A142" s="1">
        <v>41578</v>
      </c>
      <c r="C142" s="3">
        <v>1070242.17</v>
      </c>
      <c r="D142">
        <f t="shared" si="4"/>
        <v>0.14292746504746848</v>
      </c>
      <c r="E142">
        <f t="shared" si="5"/>
        <v>-6.6243995289457722E-3</v>
      </c>
      <c r="G142" s="3">
        <v>98.5</v>
      </c>
    </row>
    <row r="143" spans="1:7">
      <c r="A143" s="1">
        <v>41547</v>
      </c>
      <c r="C143" s="3">
        <v>1077379.1599999999</v>
      </c>
      <c r="D143">
        <f t="shared" si="4"/>
        <v>0.14166790692376052</v>
      </c>
      <c r="E143">
        <f t="shared" si="5"/>
        <v>1.5192115255311087E-2</v>
      </c>
      <c r="G143" s="3">
        <v>98.7</v>
      </c>
    </row>
    <row r="144" spans="1:7">
      <c r="A144" s="1">
        <v>41517</v>
      </c>
      <c r="C144" s="3">
        <v>1061256.43</v>
      </c>
      <c r="D144">
        <f t="shared" si="4"/>
        <v>0.14743500662059228</v>
      </c>
      <c r="E144">
        <f t="shared" si="5"/>
        <v>8.5953088138082945E-3</v>
      </c>
      <c r="G144" s="3">
        <v>98.4</v>
      </c>
    </row>
    <row r="145" spans="1:7">
      <c r="A145" s="1">
        <v>41486</v>
      </c>
      <c r="C145" s="3">
        <v>1052212.3400000001</v>
      </c>
      <c r="D145">
        <f t="shared" si="4"/>
        <v>0.14486338617066519</v>
      </c>
      <c r="E145">
        <f t="shared" si="5"/>
        <v>-2.0782836979637851E-3</v>
      </c>
      <c r="G145" s="3">
        <v>97.7</v>
      </c>
    </row>
    <row r="146" spans="1:7">
      <c r="A146" s="1">
        <v>41455</v>
      </c>
      <c r="C146" s="3">
        <v>1054403.69</v>
      </c>
      <c r="D146">
        <f t="shared" si="4"/>
        <v>0.13990672559911921</v>
      </c>
      <c r="E146">
        <f t="shared" si="5"/>
        <v>1.1739485747208169E-2</v>
      </c>
      <c r="G146" s="3">
        <v>97.3</v>
      </c>
    </row>
    <row r="147" spans="1:7">
      <c r="A147" s="1">
        <v>41425</v>
      </c>
      <c r="C147" s="3">
        <v>1042169.16</v>
      </c>
      <c r="D147">
        <f t="shared" si="4"/>
        <v>0.15790298785698026</v>
      </c>
      <c r="E147">
        <f t="shared" si="5"/>
        <v>9.3140693460541883E-3</v>
      </c>
      <c r="G147" s="3">
        <v>97.1</v>
      </c>
    </row>
    <row r="148" spans="1:7">
      <c r="A148" s="1">
        <v>41394</v>
      </c>
      <c r="C148" s="3">
        <v>1032551.9</v>
      </c>
      <c r="D148">
        <f t="shared" si="4"/>
        <v>0.16068706252727896</v>
      </c>
      <c r="E148">
        <f t="shared" si="5"/>
        <v>-3.1920097339175548E-3</v>
      </c>
      <c r="G148" s="3">
        <v>97.4</v>
      </c>
    </row>
    <row r="149" spans="1:7">
      <c r="A149" s="1">
        <v>41364</v>
      </c>
      <c r="C149" s="3">
        <v>1035858.37</v>
      </c>
      <c r="D149">
        <f t="shared" si="4"/>
        <v>0.15665282997167712</v>
      </c>
      <c r="E149">
        <f t="shared" si="5"/>
        <v>3.7309742672655341E-2</v>
      </c>
      <c r="G149" s="3">
        <v>98.1</v>
      </c>
    </row>
    <row r="150" spans="1:7">
      <c r="A150" s="1">
        <v>41333</v>
      </c>
      <c r="C150" s="3">
        <v>998600.83</v>
      </c>
      <c r="D150">
        <f t="shared" si="4"/>
        <v>0.15156104891002969</v>
      </c>
      <c r="E150">
        <f t="shared" si="5"/>
        <v>6.5229202747524662E-3</v>
      </c>
      <c r="G150" s="3">
        <v>98.4</v>
      </c>
    </row>
    <row r="151" spans="1:7">
      <c r="A151" s="1">
        <v>41305</v>
      </c>
      <c r="C151" s="3">
        <v>992129.25</v>
      </c>
      <c r="D151">
        <f t="shared" si="4"/>
        <v>0.15916641742577792</v>
      </c>
      <c r="E151">
        <f t="shared" si="5"/>
        <v>1.8446456394315604E-2</v>
      </c>
      <c r="G151" s="3">
        <v>98.4</v>
      </c>
    </row>
    <row r="152" spans="1:7">
      <c r="A152" s="1">
        <v>41274</v>
      </c>
      <c r="C152" s="3">
        <v>974159.46</v>
      </c>
      <c r="D152">
        <f t="shared" si="4"/>
        <v>0.14392892173929986</v>
      </c>
      <c r="E152">
        <f t="shared" si="5"/>
        <v>3.1039430908592826E-2</v>
      </c>
      <c r="G152" s="3">
        <v>98.1</v>
      </c>
    </row>
    <row r="153" spans="1:7">
      <c r="A153" s="1">
        <v>41243</v>
      </c>
      <c r="C153" s="3">
        <v>944832.4</v>
      </c>
      <c r="D153">
        <f t="shared" si="4"/>
        <v>0.14456612485853026</v>
      </c>
      <c r="E153">
        <f t="shared" si="5"/>
        <v>9.000514179623352E-3</v>
      </c>
      <c r="G153" s="3">
        <v>97.8</v>
      </c>
    </row>
    <row r="154" spans="1:7">
      <c r="A154" s="1">
        <v>41213</v>
      </c>
      <c r="C154" s="3">
        <v>936404.28</v>
      </c>
      <c r="D154">
        <f t="shared" si="4"/>
        <v>0.14638926066861591</v>
      </c>
      <c r="E154">
        <f t="shared" si="5"/>
        <v>-7.7191446862113931E-3</v>
      </c>
      <c r="G154" s="3">
        <v>97.2</v>
      </c>
    </row>
    <row r="155" spans="1:7">
      <c r="A155" s="1">
        <v>41182</v>
      </c>
      <c r="C155" s="3">
        <v>943688.75</v>
      </c>
      <c r="D155">
        <f t="shared" si="4"/>
        <v>0.19847767264215097</v>
      </c>
      <c r="E155">
        <f t="shared" si="5"/>
        <v>2.0320326449309249E-2</v>
      </c>
      <c r="G155" s="3">
        <v>96.4</v>
      </c>
    </row>
    <row r="156" spans="1:7">
      <c r="A156" s="1">
        <v>41152</v>
      </c>
      <c r="C156" s="3">
        <v>924894.59</v>
      </c>
      <c r="D156">
        <f t="shared" si="4"/>
        <v>0.18446803576041193</v>
      </c>
      <c r="E156">
        <f t="shared" si="5"/>
        <v>6.3348545772889536E-3</v>
      </c>
      <c r="G156" s="3">
        <v>96.5</v>
      </c>
    </row>
    <row r="157" spans="1:7">
      <c r="A157" s="1">
        <v>41121</v>
      </c>
      <c r="C157" s="3">
        <v>919072.4</v>
      </c>
      <c r="D157">
        <f t="shared" si="4"/>
        <v>0.1890856231401381</v>
      </c>
      <c r="E157">
        <f t="shared" si="5"/>
        <v>-6.3987635774263914E-3</v>
      </c>
      <c r="G157" s="3">
        <v>97.1</v>
      </c>
    </row>
    <row r="158" spans="1:7">
      <c r="A158" s="1">
        <v>41090</v>
      </c>
      <c r="C158" s="3">
        <v>924991.2</v>
      </c>
      <c r="D158">
        <f t="shared" si="4"/>
        <v>0.18463947267801567</v>
      </c>
      <c r="E158">
        <f t="shared" si="5"/>
        <v>2.7712309411855464E-2</v>
      </c>
      <c r="G158" s="3">
        <v>97.9</v>
      </c>
    </row>
    <row r="159" spans="1:7">
      <c r="A159" s="1">
        <v>41060</v>
      </c>
      <c r="C159" s="3">
        <v>900048.77</v>
      </c>
      <c r="D159">
        <f t="shared" si="4"/>
        <v>0.17898598342838989</v>
      </c>
      <c r="E159">
        <f t="shared" si="5"/>
        <v>1.1740875187572193E-2</v>
      </c>
      <c r="G159" s="3">
        <v>98.6</v>
      </c>
    </row>
    <row r="160" spans="1:7">
      <c r="A160" s="1">
        <v>41029</v>
      </c>
      <c r="C160" s="3">
        <v>889604.04</v>
      </c>
      <c r="D160">
        <f t="shared" si="4"/>
        <v>0.17457377266840504</v>
      </c>
      <c r="E160">
        <f t="shared" si="5"/>
        <v>-6.6566432047683423E-3</v>
      </c>
      <c r="G160" s="3">
        <v>99.3</v>
      </c>
    </row>
    <row r="161" spans="1:7">
      <c r="A161" s="1">
        <v>40999</v>
      </c>
      <c r="C161" s="3">
        <v>895565.5</v>
      </c>
      <c r="D161">
        <f t="shared" si="4"/>
        <v>0.1812808627449656</v>
      </c>
      <c r="E161">
        <f t="shared" si="5"/>
        <v>3.2743330032717129E-2</v>
      </c>
      <c r="G161" s="3">
        <v>99.7</v>
      </c>
    </row>
    <row r="162" spans="1:7">
      <c r="A162" s="1">
        <v>40968</v>
      </c>
      <c r="C162" s="3">
        <v>867171.42</v>
      </c>
      <c r="D162">
        <f t="shared" si="4"/>
        <v>0.1780125886856585</v>
      </c>
      <c r="E162">
        <f t="shared" si="5"/>
        <v>1.3170399134411809E-2</v>
      </c>
      <c r="G162" s="3">
        <v>100</v>
      </c>
    </row>
    <row r="163" spans="1:7">
      <c r="A163" s="1">
        <v>40939</v>
      </c>
      <c r="C163" s="3">
        <v>855898.89</v>
      </c>
      <c r="D163">
        <f t="shared" si="4"/>
        <v>0.16625777644157064</v>
      </c>
      <c r="E163">
        <f t="shared" si="5"/>
        <v>5.0587553248866218E-3</v>
      </c>
      <c r="G163" s="3">
        <v>100.7</v>
      </c>
    </row>
    <row r="164" spans="1:7">
      <c r="A164" s="1">
        <v>40908</v>
      </c>
      <c r="C164" s="3">
        <v>851590.9</v>
      </c>
      <c r="D164">
        <f t="shared" si="4"/>
        <v>0.17322973054871157</v>
      </c>
      <c r="E164">
        <f t="shared" si="5"/>
        <v>3.1613751156065517E-2</v>
      </c>
      <c r="G164" s="3">
        <v>101.7</v>
      </c>
    </row>
    <row r="165" spans="1:7">
      <c r="A165" s="1">
        <v>40877</v>
      </c>
      <c r="C165" s="3">
        <v>825493.94</v>
      </c>
      <c r="D165">
        <f t="shared" si="4"/>
        <v>0.16211260417437559</v>
      </c>
      <c r="E165">
        <f t="shared" si="5"/>
        <v>1.0607712689035003E-2</v>
      </c>
      <c r="G165" s="3">
        <v>102.7</v>
      </c>
    </row>
    <row r="166" spans="1:7">
      <c r="A166" s="1">
        <v>40847</v>
      </c>
      <c r="C166" s="3">
        <v>816829.25</v>
      </c>
      <c r="D166">
        <f t="shared" si="4"/>
        <v>0.1672712213898393</v>
      </c>
      <c r="E166">
        <f t="shared" si="5"/>
        <v>3.7367054005924834E-2</v>
      </c>
      <c r="G166" s="3">
        <v>105</v>
      </c>
    </row>
    <row r="167" spans="1:7">
      <c r="A167" s="1">
        <v>40816</v>
      </c>
      <c r="C167" s="3">
        <v>787406.2</v>
      </c>
      <c r="D167">
        <f t="shared" si="4"/>
        <v>0.13056485441256382</v>
      </c>
      <c r="E167">
        <f t="shared" si="5"/>
        <v>8.3932646417253388E-3</v>
      </c>
      <c r="G167" s="3">
        <v>106.5</v>
      </c>
    </row>
    <row r="168" spans="1:7">
      <c r="A168" s="1">
        <v>40786</v>
      </c>
      <c r="C168" s="3">
        <v>780852.3</v>
      </c>
      <c r="D168">
        <f t="shared" si="4"/>
        <v>0.13577373155749473</v>
      </c>
      <c r="E168">
        <f t="shared" si="5"/>
        <v>1.0257998962769509E-2</v>
      </c>
      <c r="G168" s="3">
        <v>107.3</v>
      </c>
    </row>
    <row r="169" spans="1:7">
      <c r="A169" s="1">
        <v>40755</v>
      </c>
      <c r="C169" s="3">
        <v>772923.65</v>
      </c>
      <c r="D169">
        <f t="shared" si="4"/>
        <v>0.14668341059053835</v>
      </c>
      <c r="E169">
        <f t="shared" si="5"/>
        <v>-1.0113971726036713E-2</v>
      </c>
      <c r="G169" s="3">
        <v>107.5</v>
      </c>
    </row>
    <row r="170" spans="1:7">
      <c r="A170" s="1">
        <v>40724</v>
      </c>
      <c r="C170" s="3">
        <v>780820.85</v>
      </c>
      <c r="D170">
        <f t="shared" si="4"/>
        <v>0.15862247324511222</v>
      </c>
      <c r="E170">
        <f t="shared" si="5"/>
        <v>2.2807728206374042E-2</v>
      </c>
      <c r="G170" s="3">
        <v>107.1</v>
      </c>
    </row>
    <row r="171" spans="1:7">
      <c r="A171" s="1">
        <v>40694</v>
      </c>
      <c r="C171" s="3">
        <v>763409.22</v>
      </c>
      <c r="D171">
        <f t="shared" si="4"/>
        <v>0.15083687850075592</v>
      </c>
      <c r="E171">
        <f t="shared" si="5"/>
        <v>7.9545587779079035E-3</v>
      </c>
      <c r="G171" s="3">
        <v>106.8</v>
      </c>
    </row>
    <row r="172" spans="1:7">
      <c r="A172" s="1">
        <v>40663</v>
      </c>
      <c r="C172" s="3">
        <v>757384.56</v>
      </c>
      <c r="D172">
        <f t="shared" si="4"/>
        <v>0.15356274012041116</v>
      </c>
      <c r="E172">
        <f t="shared" si="5"/>
        <v>-9.8442105405329057E-4</v>
      </c>
      <c r="G172" s="3">
        <v>106.8</v>
      </c>
    </row>
    <row r="173" spans="1:7">
      <c r="A173" s="1">
        <v>40633</v>
      </c>
      <c r="C173" s="3">
        <v>758130.88</v>
      </c>
      <c r="D173">
        <f t="shared" si="4"/>
        <v>0.1664494850091422</v>
      </c>
      <c r="E173">
        <f t="shared" si="5"/>
        <v>2.9886017820255517E-2</v>
      </c>
      <c r="G173" s="3">
        <v>107.3</v>
      </c>
    </row>
    <row r="174" spans="1:7">
      <c r="A174" s="1">
        <v>40602</v>
      </c>
      <c r="C174" s="3">
        <v>736130.86</v>
      </c>
      <c r="D174">
        <f t="shared" si="4"/>
        <v>0.15730697012317432</v>
      </c>
      <c r="E174">
        <f t="shared" si="5"/>
        <v>3.0604665857448341E-3</v>
      </c>
      <c r="G174" s="3">
        <v>107.2</v>
      </c>
    </row>
    <row r="175" spans="1:7">
      <c r="A175" s="1">
        <v>40574</v>
      </c>
      <c r="C175" s="3">
        <v>733884.83</v>
      </c>
      <c r="D175">
        <f t="shared" si="4"/>
        <v>0.173072142199167</v>
      </c>
      <c r="E175">
        <f t="shared" si="5"/>
        <v>1.1067052683027647E-2</v>
      </c>
      <c r="G175" s="3">
        <v>106.6</v>
      </c>
    </row>
    <row r="176" spans="1:7">
      <c r="A176" s="1">
        <v>40543</v>
      </c>
      <c r="C176" s="3">
        <v>725851.79</v>
      </c>
      <c r="G176" s="3">
        <v>105.9</v>
      </c>
    </row>
    <row r="177" spans="1:7">
      <c r="A177" s="1">
        <v>40512</v>
      </c>
      <c r="C177" s="3">
        <v>710339.03</v>
      </c>
      <c r="G177" s="3">
        <v>106.1</v>
      </c>
    </row>
    <row r="178" spans="1:7">
      <c r="A178" s="1">
        <v>40482</v>
      </c>
      <c r="C178" s="3">
        <v>699776.74</v>
      </c>
      <c r="G178" s="3">
        <v>105</v>
      </c>
    </row>
    <row r="179" spans="1:7">
      <c r="A179" s="1">
        <v>40451</v>
      </c>
      <c r="C179" s="3">
        <v>696471.5</v>
      </c>
      <c r="G179" s="3">
        <v>104.3</v>
      </c>
    </row>
    <row r="180" spans="1:7">
      <c r="A180" s="1">
        <v>40421</v>
      </c>
      <c r="C180" s="3">
        <v>687506.92</v>
      </c>
      <c r="G180" s="3">
        <v>104.3</v>
      </c>
    </row>
    <row r="181" spans="1:7">
      <c r="A181" s="1">
        <v>40390</v>
      </c>
      <c r="C181" s="3">
        <v>674051.48</v>
      </c>
      <c r="G181" s="3">
        <v>104.8</v>
      </c>
    </row>
    <row r="182" spans="1:7">
      <c r="A182" s="1">
        <v>40359</v>
      </c>
      <c r="C182" s="3">
        <v>673921.72</v>
      </c>
      <c r="G182" s="3">
        <v>106.4</v>
      </c>
    </row>
    <row r="183" spans="1:7">
      <c r="A183" s="1">
        <v>40329</v>
      </c>
      <c r="C183" s="3">
        <v>663351.37</v>
      </c>
      <c r="G183" s="3">
        <v>107.1</v>
      </c>
    </row>
    <row r="184" spans="1:7">
      <c r="A184" s="1">
        <v>40298</v>
      </c>
      <c r="C184" s="3">
        <v>656561.22</v>
      </c>
      <c r="G184" s="3">
        <v>106.8</v>
      </c>
    </row>
    <row r="185" spans="1:7">
      <c r="A185" s="1">
        <v>40268</v>
      </c>
      <c r="C185" s="3">
        <v>649947.46</v>
      </c>
      <c r="G185" s="3">
        <v>105.9</v>
      </c>
    </row>
    <row r="186" spans="1:7">
      <c r="A186" s="1">
        <v>40237</v>
      </c>
      <c r="C186" s="3">
        <v>636072.26</v>
      </c>
      <c r="G186" s="3">
        <v>105.4</v>
      </c>
    </row>
    <row r="187" spans="1:7">
      <c r="A187" s="1">
        <v>40209</v>
      </c>
      <c r="C187" s="3">
        <v>625609.29</v>
      </c>
      <c r="G187" s="3">
        <v>104.3</v>
      </c>
    </row>
    <row r="188" spans="1:7">
      <c r="G188" s="11"/>
    </row>
    <row r="189" spans="1:7">
      <c r="G189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Huibin Chang</dc:creator>
  <cp:lastModifiedBy>Huibin Chang</cp:lastModifiedBy>
  <dcterms:created xsi:type="dcterms:W3CDTF">2025-06-12T20:42:16Z</dcterms:created>
  <dcterms:modified xsi:type="dcterms:W3CDTF">2025-06-30T19:43:45Z</dcterms:modified>
</cp:coreProperties>
</file>